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kat\OneDrive\Desktop\arup\"/>
    </mc:Choice>
  </mc:AlternateContent>
  <xr:revisionPtr revIDLastSave="0" documentId="13_ncr:1_{CD8AC257-856B-4B8A-8147-01D1E9C5B3AD}" xr6:coauthVersionLast="47" xr6:coauthVersionMax="47" xr10:uidLastSave="{00000000-0000-0000-0000-000000000000}"/>
  <bookViews>
    <workbookView xWindow="-108" yWindow="-108" windowWidth="23256" windowHeight="12456" xr2:uid="{AE9099B1-C63E-4864-9AFF-18C9BD9865A7}"/>
  </bookViews>
  <sheets>
    <sheet name="invoice" sheetId="1" r:id="rId1"/>
    <sheet name="purchase" sheetId="2" r:id="rId2"/>
    <sheet name="sales" sheetId="3" r:id="rId3"/>
    <sheet name="stock" sheetId="4" r:id="rId4"/>
    <sheet name="chart" sheetId="7" r:id="rId5"/>
    <sheet name="Sheet1" sheetId="8" r:id="rId6"/>
    <sheet name="help sheet" sheetId="5" r:id="rId7"/>
  </sheets>
  <definedNames>
    <definedName name="_xlnm._FilterDatabase" localSheetId="1" hidden="1">purchase!$B$5:$B$29</definedName>
    <definedName name="_xlnm.Criteria" localSheetId="3">stock!$H$8:$H$9</definedName>
    <definedName name="_xlnm.Extract" localSheetId="3">stock!$B$5</definedName>
    <definedName name="_xlnm.Print_Area" localSheetId="0">invoice!$B$2:$I$40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" l="1"/>
  <c r="C18" i="1"/>
  <c r="C16" i="1"/>
  <c r="I9" i="1"/>
  <c r="E27" i="5"/>
  <c r="D27" i="5"/>
  <c r="B27" i="5"/>
  <c r="E26" i="5"/>
  <c r="D26" i="5"/>
  <c r="G26" i="5" l="1"/>
  <c r="H26" i="5" s="1"/>
  <c r="G27" i="5"/>
  <c r="H27" i="5" s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F17" i="1"/>
  <c r="H17" i="1" s="1"/>
  <c r="I17" i="1" s="1"/>
  <c r="F18" i="1"/>
  <c r="H18" i="1" s="1"/>
  <c r="I18" i="1" s="1"/>
  <c r="F19" i="1"/>
  <c r="H19" i="1" s="1"/>
  <c r="I19" i="1" s="1"/>
  <c r="F20" i="1"/>
  <c r="H20" i="1" s="1"/>
  <c r="I20" i="1" s="1"/>
  <c r="F21" i="1"/>
  <c r="H21" i="1" s="1"/>
  <c r="I21" i="1" s="1"/>
  <c r="F22" i="1"/>
  <c r="H22" i="1" s="1"/>
  <c r="I22" i="1" s="1"/>
  <c r="F23" i="1"/>
  <c r="H23" i="1" s="1"/>
  <c r="I23" i="1" s="1"/>
  <c r="F24" i="1"/>
  <c r="H24" i="1" s="1"/>
  <c r="I24" i="1" s="1"/>
  <c r="F25" i="1"/>
  <c r="H25" i="1" s="1"/>
  <c r="I25" i="1" s="1"/>
  <c r="F26" i="1"/>
  <c r="H26" i="1" s="1"/>
  <c r="I26" i="1" s="1"/>
  <c r="F27" i="1"/>
  <c r="H27" i="1" s="1"/>
  <c r="I27" i="1" s="1"/>
  <c r="F28" i="1"/>
  <c r="H28" i="1" s="1"/>
  <c r="I28" i="1" s="1"/>
  <c r="F29" i="1"/>
  <c r="H29" i="1" s="1"/>
  <c r="I29" i="1" s="1"/>
  <c r="F30" i="1"/>
  <c r="H30" i="1" s="1"/>
  <c r="I30" i="1" s="1"/>
  <c r="F31" i="1"/>
  <c r="H31" i="1" s="1"/>
  <c r="I31" i="1" s="1"/>
  <c r="F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16" i="1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F33" i="4" s="1"/>
  <c r="E34" i="4"/>
  <c r="E35" i="4"/>
  <c r="F35" i="4" s="1"/>
  <c r="E36" i="4"/>
  <c r="E37" i="4"/>
  <c r="E38" i="4"/>
  <c r="E39" i="4"/>
  <c r="F39" i="4" s="1"/>
  <c r="E40" i="4"/>
  <c r="E41" i="4"/>
  <c r="F41" i="4" s="1"/>
  <c r="E42" i="4"/>
  <c r="E43" i="4"/>
  <c r="F43" i="4" s="1"/>
  <c r="E44" i="4"/>
  <c r="E45" i="4"/>
  <c r="E46" i="4"/>
  <c r="F46" i="4" s="1"/>
  <c r="E47" i="4"/>
  <c r="E48" i="4"/>
  <c r="E49" i="4"/>
  <c r="F49" i="4" s="1"/>
  <c r="E50" i="4"/>
  <c r="E51" i="4"/>
  <c r="F51" i="4" s="1"/>
  <c r="E52" i="4"/>
  <c r="F52" i="4" s="1"/>
  <c r="E53" i="4"/>
  <c r="E54" i="4"/>
  <c r="E55" i="4"/>
  <c r="E56" i="4"/>
  <c r="E57" i="4"/>
  <c r="E58" i="4"/>
  <c r="E59" i="4"/>
  <c r="F59" i="4" s="1"/>
  <c r="E60" i="4"/>
  <c r="E61" i="4"/>
  <c r="E62" i="4"/>
  <c r="E63" i="4"/>
  <c r="E64" i="4"/>
  <c r="E65" i="4"/>
  <c r="F65" i="4" s="1"/>
  <c r="E66" i="4"/>
  <c r="E67" i="4"/>
  <c r="F67" i="4" s="1"/>
  <c r="E68" i="4"/>
  <c r="E69" i="4"/>
  <c r="E70" i="4"/>
  <c r="E71" i="4"/>
  <c r="E72" i="4"/>
  <c r="E73" i="4"/>
  <c r="F73" i="4" s="1"/>
  <c r="E74" i="4"/>
  <c r="E75" i="4"/>
  <c r="F75" i="4" s="1"/>
  <c r="E76" i="4"/>
  <c r="E77" i="4"/>
  <c r="E78" i="4"/>
  <c r="E79" i="4"/>
  <c r="E80" i="4"/>
  <c r="E81" i="4"/>
  <c r="F81" i="4" s="1"/>
  <c r="E82" i="4"/>
  <c r="E83" i="4"/>
  <c r="E8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I10" i="1"/>
  <c r="F61" i="4" l="1"/>
  <c r="F83" i="4"/>
  <c r="F82" i="4"/>
  <c r="F80" i="4"/>
  <c r="H16" i="1"/>
  <c r="I16" i="1" s="1"/>
  <c r="I33" i="1" s="1"/>
  <c r="F5" i="4"/>
  <c r="F37" i="4"/>
  <c r="F68" i="4"/>
  <c r="F44" i="4"/>
  <c r="F76" i="4"/>
  <c r="F62" i="4"/>
  <c r="F84" i="4"/>
  <c r="F60" i="4"/>
  <c r="F36" i="4"/>
  <c r="F74" i="4"/>
  <c r="F66" i="4"/>
  <c r="F58" i="4"/>
  <c r="F50" i="4"/>
  <c r="F42" i="4"/>
  <c r="F34" i="4"/>
  <c r="F79" i="4"/>
  <c r="F71" i="4"/>
  <c r="F63" i="4"/>
  <c r="F55" i="4"/>
  <c r="F47" i="4"/>
  <c r="F31" i="4"/>
  <c r="F78" i="4"/>
  <c r="F70" i="4"/>
  <c r="F54" i="4"/>
  <c r="F38" i="4"/>
  <c r="F77" i="4"/>
  <c r="F69" i="4"/>
  <c r="F53" i="4"/>
  <c r="F45" i="4"/>
  <c r="F57" i="4"/>
  <c r="F72" i="4"/>
  <c r="F64" i="4"/>
  <c r="F56" i="4"/>
  <c r="F48" i="4"/>
  <c r="F40" i="4"/>
  <c r="F32" i="4"/>
  <c r="F9" i="4"/>
  <c r="F23" i="4"/>
  <c r="F30" i="4"/>
  <c r="F14" i="4"/>
  <c r="F29" i="4"/>
  <c r="F21" i="4"/>
  <c r="F13" i="4"/>
  <c r="F15" i="4"/>
  <c r="F6" i="4"/>
  <c r="F18" i="4"/>
  <c r="F10" i="4"/>
  <c r="F7" i="4"/>
  <c r="J18" i="1" s="1"/>
  <c r="F22" i="4"/>
  <c r="F20" i="4"/>
  <c r="F28" i="4"/>
  <c r="F27" i="4"/>
  <c r="F19" i="4"/>
  <c r="F11" i="4"/>
  <c r="F12" i="4"/>
  <c r="F26" i="4"/>
  <c r="F25" i="4"/>
  <c r="F17" i="4"/>
  <c r="F24" i="4"/>
  <c r="F16" i="4"/>
  <c r="F8" i="4"/>
  <c r="J16" i="1" l="1"/>
  <c r="J17" i="1"/>
</calcChain>
</file>

<file path=xl/sharedStrings.xml><?xml version="1.0" encoding="utf-8"?>
<sst xmlns="http://schemas.openxmlformats.org/spreadsheetml/2006/main" count="1026" uniqueCount="37">
  <si>
    <t>Sl</t>
  </si>
  <si>
    <t>Invoice No</t>
  </si>
  <si>
    <t>Item code</t>
  </si>
  <si>
    <t>Item Name</t>
  </si>
  <si>
    <t>Rate</t>
  </si>
  <si>
    <t>Qty</t>
  </si>
  <si>
    <t>Tax-15%</t>
  </si>
  <si>
    <t>Amount</t>
  </si>
  <si>
    <t>Rupatoli,Barishal,Bangladesh</t>
  </si>
  <si>
    <t>Customer Details</t>
  </si>
  <si>
    <t>Customer Name</t>
  </si>
  <si>
    <t>Address</t>
  </si>
  <si>
    <t>Mobile No</t>
  </si>
  <si>
    <t>Date</t>
  </si>
  <si>
    <t>Grand Total</t>
  </si>
  <si>
    <t>Customer</t>
  </si>
  <si>
    <t>Accounts</t>
  </si>
  <si>
    <r>
      <t xml:space="preserve">Thank You
</t>
    </r>
    <r>
      <rPr>
        <sz val="11"/>
        <color theme="1"/>
        <rFont val="Times New Roman"/>
        <family val="1"/>
      </rPr>
      <t>www.arup18.blogspot.com || email:arup18sardar@gmail.com</t>
    </r>
  </si>
  <si>
    <t>Iteam Code</t>
  </si>
  <si>
    <t>Iteam Name</t>
  </si>
  <si>
    <t>Purchase</t>
  </si>
  <si>
    <t>Sale Rate</t>
  </si>
  <si>
    <t>PURCHASE</t>
  </si>
  <si>
    <t>Excel Course</t>
  </si>
  <si>
    <t>Word Course</t>
  </si>
  <si>
    <t>PPT Course</t>
  </si>
  <si>
    <t>Item Code</t>
  </si>
  <si>
    <t>Sales</t>
  </si>
  <si>
    <t>Stock</t>
  </si>
  <si>
    <t/>
  </si>
  <si>
    <t>A.s. vertex Technology</t>
  </si>
  <si>
    <t>Processor</t>
  </si>
  <si>
    <t>Motherboard</t>
  </si>
  <si>
    <t>RAM</t>
  </si>
  <si>
    <t>SSD</t>
  </si>
  <si>
    <t>Cassing</t>
  </si>
  <si>
    <t>monitor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</si>
</sst>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00000000000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lgerian"/>
      <family val="5"/>
    </font>
    <font>
      <sz val="16"/>
      <color theme="1"/>
      <name val="Algerian"/>
      <family val="5"/>
    </font>
    <font>
      <sz val="18"/>
      <color theme="1"/>
      <name val="Algerian"/>
      <family val="5"/>
    </font>
    <font>
      <sz val="20"/>
      <color theme="1"/>
      <name val="Algerian"/>
      <family val="5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0" xfId="0" applyFont="1"/>
    <xf numFmtId="0" fontId="2" fillId="2" borderId="4" xfId="0" applyFont="1" applyFill="1" applyBorder="1" applyAlignment="1">
      <alignment horizontal="center" vertical="center"/>
    </xf>
    <xf numFmtId="0" fontId="0" fillId="0" borderId="4" xfId="0" applyBorder="1"/>
    <xf numFmtId="0" fontId="1" fillId="0" borderId="0" xfId="0" applyFont="1"/>
    <xf numFmtId="0" fontId="0" fillId="4" borderId="0" xfId="0" applyFill="1" applyAlignment="1">
      <alignment horizontal="center" wrapText="1"/>
    </xf>
    <xf numFmtId="0" fontId="0" fillId="4" borderId="0" xfId="0" applyFill="1" applyAlignment="1">
      <alignment horizontal="center"/>
    </xf>
    <xf numFmtId="0" fontId="0" fillId="0" borderId="1" xfId="0" applyBorder="1"/>
    <xf numFmtId="165" fontId="0" fillId="0" borderId="1" xfId="0" applyNumberFormat="1" applyBorder="1"/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4" fillId="5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9" tint="0.59999389629810485"/>
        </patternFill>
      </fill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DEB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5BB-BCF2-012B1E5612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5BB-BCF2-012B1E5612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5BB-BCF2-012B1E5612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A9-45BB-BCF2-012B1E5612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A9-45BB-BCF2-012B1E56120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7A9-45BB-BCF2-012B1E56120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7A9-45BB-BCF2-012B1E56120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stock!$C$5:$C$11</c:f>
              <c:strCache>
                <c:ptCount val="6"/>
                <c:pt idx="0">
                  <c:v>Processor</c:v>
                </c:pt>
                <c:pt idx="1">
                  <c:v>Motherboard</c:v>
                </c:pt>
                <c:pt idx="2">
                  <c:v>RAM</c:v>
                </c:pt>
                <c:pt idx="3">
                  <c:v>SSD</c:v>
                </c:pt>
                <c:pt idx="4">
                  <c:v>monitor</c:v>
                </c:pt>
                <c:pt idx="5">
                  <c:v>Cassing</c:v>
                </c:pt>
              </c:strCache>
            </c:strRef>
          </c:cat>
          <c:val>
            <c:numRef>
              <c:f>stock!$F$5:$F$11</c:f>
              <c:numCache>
                <c:formatCode>General</c:formatCode>
                <c:ptCount val="7"/>
                <c:pt idx="0">
                  <c:v>39</c:v>
                </c:pt>
                <c:pt idx="1">
                  <c:v>67</c:v>
                </c:pt>
                <c:pt idx="2">
                  <c:v>40</c:v>
                </c:pt>
                <c:pt idx="3">
                  <c:v>49</c:v>
                </c:pt>
                <c:pt idx="4">
                  <c:v>20</c:v>
                </c:pt>
                <c:pt idx="5">
                  <c:v>33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7A9-45BB-BCF2-012B1E56120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purchase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CD1-4279-B1B9-48A63C2C7B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CD1-4279-B1B9-48A63C2C7B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CD1-4279-B1B9-48A63C2C7BC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CD1-4279-B1B9-48A63C2C7BC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CD1-4279-B1B9-48A63C2C7BC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CD1-4279-B1B9-48A63C2C7BC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CD1-4279-B1B9-48A63C2C7BC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CD1-4279-B1B9-48A63C2C7BC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CD1-4279-B1B9-48A63C2C7BC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CD1-4279-B1B9-48A63C2C7BC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FCD1-4279-B1B9-48A63C2C7BC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CD1-4279-B1B9-48A63C2C7BC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CD1-4279-B1B9-48A63C2C7BC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FCD1-4279-B1B9-48A63C2C7BC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FCD1-4279-B1B9-48A63C2C7BC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FCD1-4279-B1B9-48A63C2C7BC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stock!$C$5:$C$20</c:f>
              <c:strCache>
                <c:ptCount val="6"/>
                <c:pt idx="0">
                  <c:v>Processor</c:v>
                </c:pt>
                <c:pt idx="1">
                  <c:v>Motherboard</c:v>
                </c:pt>
                <c:pt idx="2">
                  <c:v>RAM</c:v>
                </c:pt>
                <c:pt idx="3">
                  <c:v>SSD</c:v>
                </c:pt>
                <c:pt idx="4">
                  <c:v>monitor</c:v>
                </c:pt>
                <c:pt idx="5">
                  <c:v>Cassing</c:v>
                </c:pt>
              </c:strCache>
            </c:strRef>
          </c:cat>
          <c:val>
            <c:numRef>
              <c:f>stock!$D$5:$D$20</c:f>
              <c:numCache>
                <c:formatCode>General</c:formatCode>
                <c:ptCount val="16"/>
                <c:pt idx="0">
                  <c:v>100</c:v>
                </c:pt>
                <c:pt idx="1">
                  <c:v>75</c:v>
                </c:pt>
                <c:pt idx="2">
                  <c:v>75</c:v>
                </c:pt>
                <c:pt idx="3">
                  <c:v>50</c:v>
                </c:pt>
                <c:pt idx="4">
                  <c:v>20</c:v>
                </c:pt>
                <c:pt idx="5">
                  <c:v>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CD1-4279-B1B9-48A63C2C7B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027012248468941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26815398075241"/>
          <c:y val="0.10464304461942257"/>
          <c:w val="0.43618044619422575"/>
          <c:h val="0.74773790776152982"/>
        </c:manualLayout>
      </c:layout>
      <c:pieChart>
        <c:varyColors val="1"/>
        <c:ser>
          <c:idx val="0"/>
          <c:order val="0"/>
          <c:tx>
            <c:strRef>
              <c:f>stock!$E$4</c:f>
              <c:strCache>
                <c:ptCount val="1"/>
                <c:pt idx="0">
                  <c:v>Sales</c:v>
                </c:pt>
              </c:strCache>
            </c:strRef>
          </c:tx>
          <c:explosion val="6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FC-4413-BB50-B95B2E3037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FC-4413-BB50-B95B2E3037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8FC-4413-BB50-B95B2E3037F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8FC-4413-BB50-B95B2E3037F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8FC-4413-BB50-B95B2E3037F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8FC-4413-BB50-B95B2E3037F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8FC-4413-BB50-B95B2E3037F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stock!$C$5:$C$11</c:f>
              <c:strCache>
                <c:ptCount val="6"/>
                <c:pt idx="0">
                  <c:v>Processor</c:v>
                </c:pt>
                <c:pt idx="1">
                  <c:v>Motherboard</c:v>
                </c:pt>
                <c:pt idx="2">
                  <c:v>RAM</c:v>
                </c:pt>
                <c:pt idx="3">
                  <c:v>SSD</c:v>
                </c:pt>
                <c:pt idx="4">
                  <c:v>monitor</c:v>
                </c:pt>
                <c:pt idx="5">
                  <c:v>Cassing</c:v>
                </c:pt>
              </c:strCache>
            </c:strRef>
          </c:cat>
          <c:val>
            <c:numRef>
              <c:f>stock!$E$5:$E$11</c:f>
              <c:numCache>
                <c:formatCode>General</c:formatCode>
                <c:ptCount val="7"/>
                <c:pt idx="0">
                  <c:v>61</c:v>
                </c:pt>
                <c:pt idx="1">
                  <c:v>8</c:v>
                </c:pt>
                <c:pt idx="2">
                  <c:v>35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8FC-4413-BB50-B95B2E30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543859</xdr:colOff>
      <xdr:row>2</xdr:row>
      <xdr:rowOff>5977</xdr:rowOff>
    </xdr:from>
    <xdr:to>
      <xdr:col>12</xdr:col>
      <xdr:colOff>95625</xdr:colOff>
      <xdr:row>3</xdr:row>
      <xdr:rowOff>162859</xdr:rowOff>
    </xdr:to>
    <xdr:sp macro="[0]!Macro7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4CB9C0-D199-4038-B27A-B53B28462DC5}"/>
            </a:ext>
          </a:extLst>
        </xdr:cNvPr>
        <xdr:cNvSpPr/>
      </xdr:nvSpPr>
      <xdr:spPr>
        <a:xfrm>
          <a:off x="6916271" y="364565"/>
          <a:ext cx="1389530" cy="336176"/>
        </a:xfrm>
        <a:prstGeom prst="roundRect">
          <a:avLst>
            <a:gd name="adj" fmla="val 50000"/>
          </a:avLst>
        </a:prstGeom>
        <a:gradFill flip="none" rotWithShape="1">
          <a:gsLst>
            <a:gs pos="100000">
              <a:srgbClr val="92AC99"/>
            </a:gs>
            <a:gs pos="100000">
              <a:schemeClr val="accent1">
                <a:lumMod val="50000"/>
              </a:schemeClr>
            </a:gs>
            <a:gs pos="45000">
              <a:schemeClr val="accent6">
                <a:lumMod val="42000"/>
                <a:lumOff val="58000"/>
              </a:schemeClr>
            </a:gs>
            <a:gs pos="100000">
              <a:schemeClr val="accent6">
                <a:lumMod val="7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i="1" u="none">
              <a:solidFill>
                <a:srgbClr val="FF0000"/>
              </a:solidFill>
              <a:latin typeface="Algerian" panose="04020705040A02060702" pitchFamily="82" charset="0"/>
            </a:rPr>
            <a:t>Sales</a:t>
          </a:r>
          <a:r>
            <a:rPr lang="en-US" sz="1300" b="1" i="1" u="sng">
              <a:solidFill>
                <a:srgbClr val="FF0000"/>
              </a:solidFill>
              <a:latin typeface="Algerian" panose="04020705040A02060702" pitchFamily="82" charset="0"/>
            </a:rPr>
            <a:t> </a:t>
          </a:r>
          <a:r>
            <a:rPr lang="en-US" sz="1300" b="1" i="1" u="none">
              <a:solidFill>
                <a:srgbClr val="FF0000"/>
              </a:solidFill>
              <a:latin typeface="Algerian" panose="04020705040A02060702" pitchFamily="82" charset="0"/>
            </a:rPr>
            <a:t>Etry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3</xdr:row>
      <xdr:rowOff>7620</xdr:rowOff>
    </xdr:from>
    <xdr:to>
      <xdr:col>8</xdr:col>
      <xdr:colOff>358140</xdr:colOff>
      <xdr:row>4</xdr:row>
      <xdr:rowOff>137160</xdr:rowOff>
    </xdr:to>
    <xdr:sp macro="[0]!upda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986AA3B-D769-DCFC-8AAF-432C10B32EEA}"/>
            </a:ext>
          </a:extLst>
        </xdr:cNvPr>
        <xdr:cNvSpPr/>
      </xdr:nvSpPr>
      <xdr:spPr>
        <a:xfrm>
          <a:off x="5067300" y="563880"/>
          <a:ext cx="1303020" cy="312420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7030A0"/>
              </a:solidFill>
              <a:latin typeface="Algerian" panose="04020705040A02060702" pitchFamily="82" charset="0"/>
            </a:rPr>
            <a:t>Update Stock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586740</xdr:colOff>
      <xdr:row>16</xdr:row>
      <xdr:rowOff>157480</xdr:rowOff>
    </xdr:from>
    <xdr:to>
      <xdr:col>21</xdr:col>
      <xdr:colOff>12700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B8497B4-DCCB-4B53-B4C3-4BA77D3793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866140</xdr:colOff>
      <xdr:row>16</xdr:row>
      <xdr:rowOff>139700</xdr:rowOff>
    </xdr:from>
    <xdr:to>
      <xdr:col>12</xdr:col>
      <xdr:colOff>393700</xdr:colOff>
      <xdr:row>31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C29A0A1-1B36-4E56-936A-93037C7A2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558800</xdr:colOff>
      <xdr:row>0</xdr:row>
      <xdr:rowOff>152400</xdr:rowOff>
    </xdr:from>
    <xdr:to>
      <xdr:col>21</xdr:col>
      <xdr:colOff>38100</xdr:colOff>
      <xdr:row>15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8EE6F88-64CE-4C2F-83DD-05E917C98A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55A225-AC7E-4007-ABC2-F4208EC5C563}" name="Table2" displayName="Table2" ref="B4:F29" totalsRowShown="0" headerRowDxfId="8">
  <tableColumns count="5">
    <tableColumn id="1" xr3:uid="{AA0BF4B3-529E-45FA-9617-99584889155F}" name="Iteam Code"/>
    <tableColumn id="2" xr3:uid="{19B4CFDB-493B-40D5-AB36-EEBC925693BB}" name="Iteam Name"/>
    <tableColumn id="3" xr3:uid="{3D799F0B-E2C6-4B59-8743-8DAF7471272D}" name="Purchase"/>
    <tableColumn id="4" xr3:uid="{C55EA9F0-ED86-4989-8CF8-E9FA1739992E}" name="Qty"/>
    <tableColumn id="5" xr3:uid="{7E4654AD-E5EF-4AD0-93DA-E90B9A1A0175}" name="Sale Rate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86AFE-BD8D-460E-B741-325189185AD7}" name="Table4" displayName="Table4" ref="B4:I281" totalsRowShown="0" headerRowDxfId="7" headerRowBorderDxfId="6" tableBorderDxfId="5">
  <autoFilter ref="B4:I281" xr:uid="{AFE86AFE-BD8D-460E-B741-325189185A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6E9C800-91A0-4BBD-9589-0DC607E3376C}" name="Sl"/>
    <tableColumn id="2" xr3:uid="{B809293D-C4F7-499A-977E-B485F2D8CD45}" name="Invoice No"/>
    <tableColumn id="3" xr3:uid="{B2469EAD-4D43-41B1-A2EA-44F1A12D7B80}" name="Item code"/>
    <tableColumn id="4" xr3:uid="{31891115-2A5F-48FE-8B08-1304B2833FED}" name="Item Name"/>
    <tableColumn id="5" xr3:uid="{6F7A78A6-E7A3-4B39-B3BF-61F23C48FCD5}" name="Rate"/>
    <tableColumn id="6" xr3:uid="{C30DE35C-12CC-485A-949E-F2121E1D3909}" name="Qty"/>
    <tableColumn id="7" xr3:uid="{6A9C05D4-8A69-4A50-997F-C6488CFC8150}" name="Tax-15%"/>
    <tableColumn id="8" xr3:uid="{43F51758-F247-46BD-9D31-3B2DA4F1C61D}" name="Amount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671A03-CB59-4014-92A3-F7C6F311F185}" name="Table3" displayName="Table3" ref="B4:F84" totalsRowShown="0" headerRowDxfId="4">
  <tableColumns count="5">
    <tableColumn id="1" xr3:uid="{92390F9F-2473-41ED-91EA-31CA89CE85E9}" name="Item Code"/>
    <tableColumn id="2" xr3:uid="{CCD03A09-0866-44FD-AFDE-48E98D22D377}" name="Item Name" dataDxfId="3">
      <calculatedColumnFormula>IFERROR(VLOOKUP(Table3[[#This Row],[Item Code]],Table2[#All],2,0),"")</calculatedColumnFormula>
    </tableColumn>
    <tableColumn id="3" xr3:uid="{841CB886-9123-4F57-AE35-0CB4928B6EEE}" name="Purchase" dataDxfId="2">
      <calculatedColumnFormula>SUMIF(Table2[Iteam Code],Table3[[#This Row],[Item Code]],Table2[Qty])</calculatedColumnFormula>
    </tableColumn>
    <tableColumn id="4" xr3:uid="{20E0F37B-14BB-4AB3-9D88-FC9DC40703A4}" name="Sales" dataDxfId="1">
      <calculatedColumnFormula>SUMIF(Table4[Item code],Table3[[#This Row],[Item Code]],Table4[Qty])</calculatedColumnFormula>
    </tableColumn>
    <tableColumn id="5" xr3:uid="{0F3A4A10-BABC-4468-8730-155C82DC86EB}" name="Stock" dataDxfId="0">
      <calculatedColumnFormula>Table3[[#This Row],[Purchase]]-Table3[[#This Row],[Sales]]</calculatedColumnFormula>
    </tableColumn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B6AD0-31AC-45E6-B6E7-B158FA81EF73}">
  <sheetPr codeName="Sheet1"/>
  <dimension ref="B2:J40"/>
  <sheetViews>
    <sheetView tabSelected="1" zoomScale="58" zoomScaleNormal="102" workbookViewId="0">
      <selection activeCell="B2" sqref="B2:I3"/>
    </sheetView>
  </sheetViews>
  <sheetFormatPr defaultRowHeight="14.4" x14ac:dyDescent="0.3"/>
  <cols>
    <col min="2" max="2" width="4.21875" customWidth="1"/>
    <col min="3" max="3" width="11.21875" customWidth="1"/>
    <col min="4" max="4" width="10.109375" customWidth="1"/>
    <col min="5" max="5" width="20.21875" customWidth="1"/>
    <col min="6" max="6" width="7.88671875" customWidth="1"/>
    <col min="7" max="7" width="7.5546875" customWidth="1"/>
    <col min="8" max="9" width="12" customWidth="1"/>
  </cols>
  <sheetData>
    <row r="2" spans="2:10" x14ac:dyDescent="0.3">
      <c r="B2" s="21" t="s">
        <v>30</v>
      </c>
      <c r="C2" s="22"/>
      <c r="D2" s="22"/>
      <c r="E2" s="22"/>
      <c r="F2" s="22"/>
      <c r="G2" s="22"/>
      <c r="H2" s="22"/>
      <c r="I2" s="22"/>
    </row>
    <row r="3" spans="2:10" x14ac:dyDescent="0.3">
      <c r="B3" s="22"/>
      <c r="C3" s="22"/>
      <c r="D3" s="22"/>
      <c r="E3" s="22"/>
      <c r="F3" s="22"/>
      <c r="G3" s="22"/>
      <c r="H3" s="22"/>
      <c r="I3" s="22"/>
    </row>
    <row r="4" spans="2:10" x14ac:dyDescent="0.3">
      <c r="B4" s="22" t="s">
        <v>8</v>
      </c>
      <c r="C4" s="22"/>
      <c r="D4" s="22"/>
      <c r="E4" s="22"/>
      <c r="F4" s="22"/>
      <c r="G4" s="22"/>
      <c r="H4" s="22"/>
      <c r="I4" s="22"/>
    </row>
    <row r="6" spans="2:10" x14ac:dyDescent="0.3">
      <c r="B6" s="23" t="s">
        <v>9</v>
      </c>
      <c r="C6" s="23"/>
      <c r="D6" s="23"/>
      <c r="E6" s="23"/>
      <c r="F6" s="23"/>
      <c r="G6" s="23"/>
      <c r="H6" s="23"/>
      <c r="I6" s="23"/>
    </row>
    <row r="9" spans="2:10" x14ac:dyDescent="0.3">
      <c r="B9" s="17" t="s">
        <v>10</v>
      </c>
      <c r="C9" s="17"/>
      <c r="D9" s="15"/>
      <c r="E9" s="15"/>
      <c r="G9" s="17" t="s">
        <v>1</v>
      </c>
      <c r="H9" s="17"/>
      <c r="I9" s="3">
        <f>MAX(Table4[Invoice No])+1</f>
        <v>14</v>
      </c>
    </row>
    <row r="10" spans="2:10" x14ac:dyDescent="0.3">
      <c r="B10" s="17" t="s">
        <v>11</v>
      </c>
      <c r="C10" s="17"/>
      <c r="D10" s="15"/>
      <c r="E10" s="15"/>
      <c r="G10" s="17" t="s">
        <v>13</v>
      </c>
      <c r="H10" s="17"/>
      <c r="I10" s="4">
        <f ca="1">TODAY()</f>
        <v>45572</v>
      </c>
    </row>
    <row r="11" spans="2:10" x14ac:dyDescent="0.3">
      <c r="B11" s="17" t="s">
        <v>12</v>
      </c>
      <c r="C11" s="17"/>
      <c r="D11" s="16"/>
      <c r="E11" s="16"/>
      <c r="H11" s="2"/>
    </row>
    <row r="15" spans="2:10" x14ac:dyDescent="0.3">
      <c r="B15" s="10" t="s">
        <v>0</v>
      </c>
      <c r="C15" s="10" t="s">
        <v>1</v>
      </c>
      <c r="D15" s="10" t="s">
        <v>2</v>
      </c>
      <c r="E15" s="10" t="s">
        <v>3</v>
      </c>
      <c r="F15" s="10" t="s">
        <v>4</v>
      </c>
      <c r="G15" s="10" t="s">
        <v>5</v>
      </c>
      <c r="H15" s="10" t="s">
        <v>6</v>
      </c>
      <c r="I15" s="10" t="s">
        <v>7</v>
      </c>
    </row>
    <row r="16" spans="2:10" x14ac:dyDescent="0.3">
      <c r="B16" s="11"/>
      <c r="C16" s="11">
        <f>MAX(Table4[Invoice No])+1</f>
        <v>14</v>
      </c>
      <c r="D16" s="11"/>
      <c r="E16" s="11" t="str">
        <f>IFERROR(VLOOKUP(D16,Table2[#All],2,0),"")</f>
        <v/>
      </c>
      <c r="F16" s="11" t="str">
        <f>IFERROR(VLOOKUP(D16,Table2[#All],5,0),"")</f>
        <v/>
      </c>
      <c r="G16" s="11"/>
      <c r="H16" s="11" t="str">
        <f>IFERROR(((F16*G16)*15%),"")</f>
        <v/>
      </c>
      <c r="I16" s="11" t="str">
        <f>IFERROR((F16*G16)+H16,"")</f>
        <v/>
      </c>
      <c r="J16" s="12" t="str">
        <f>IFERROR(IF(VLOOKUP(D16,Table3[#All],5,0)&gt;G16,"","stock nill " &amp; VLOOKUP(D16,Table3[#All],5,0) &amp; "Pcs only"),"")</f>
        <v/>
      </c>
    </row>
    <row r="17" spans="2:10" x14ac:dyDescent="0.3">
      <c r="B17" s="11"/>
      <c r="C17" s="11">
        <f>MAX(Table4[Invoice No])+1</f>
        <v>14</v>
      </c>
      <c r="D17" s="11"/>
      <c r="E17" s="11" t="str">
        <f>IFERROR(VLOOKUP(D17,Table2[#All],2,0),"")</f>
        <v/>
      </c>
      <c r="F17" s="11" t="str">
        <f>IFERROR(VLOOKUP(D17,Table2[#All],5,0),"")</f>
        <v/>
      </c>
      <c r="G17" s="11"/>
      <c r="H17" s="11" t="str">
        <f t="shared" ref="H17:H31" si="0">IFERROR(((F17*G17)*15%),"")</f>
        <v/>
      </c>
      <c r="I17" s="11" t="str">
        <f t="shared" ref="I17:I31" si="1">IFERROR((F17*G17)+H17,"")</f>
        <v/>
      </c>
      <c r="J17" s="12" t="str">
        <f>IFERROR(IF(VLOOKUP(D17,Table3[#All],5,0)&gt;G17,"","stock nill " &amp; VLOOKUP(D17,Table3[#All],5,0) &amp; "Pcs only"),"")</f>
        <v/>
      </c>
    </row>
    <row r="18" spans="2:10" x14ac:dyDescent="0.3">
      <c r="B18" s="11"/>
      <c r="C18" s="11">
        <f>MAX(Table4[Invoice No])+1</f>
        <v>14</v>
      </c>
      <c r="D18" s="11"/>
      <c r="E18" s="11" t="str">
        <f>IFERROR(VLOOKUP(D18,Table2[#All],2,0),"")</f>
        <v/>
      </c>
      <c r="F18" s="11" t="str">
        <f>IFERROR(VLOOKUP(D18,Table2[#All],5,0),"")</f>
        <v/>
      </c>
      <c r="G18" s="11"/>
      <c r="H18" s="11" t="str">
        <f t="shared" si="0"/>
        <v/>
      </c>
      <c r="I18" s="11" t="str">
        <f t="shared" si="1"/>
        <v/>
      </c>
      <c r="J18" s="12" t="str">
        <f>IFERROR(IF(VLOOKUP(D18,Table3[#All],5,0)&gt;G18,"","stock nill " &amp; VLOOKUP(D18,Table3[#All],5,0) &amp; "Pcs only"),"")</f>
        <v/>
      </c>
    </row>
    <row r="19" spans="2:10" x14ac:dyDescent="0.3">
      <c r="B19" s="11"/>
      <c r="C19" s="11"/>
      <c r="D19" s="11"/>
      <c r="E19" s="11" t="str">
        <f>IFERROR(VLOOKUP(D19,Table2[#All],2,0),"")</f>
        <v/>
      </c>
      <c r="F19" s="11" t="str">
        <f>IFERROR(VLOOKUP(D19,Table2[#All],5,0),"")</f>
        <v/>
      </c>
      <c r="G19" s="11"/>
      <c r="H19" s="11" t="str">
        <f t="shared" si="0"/>
        <v/>
      </c>
      <c r="I19" s="11" t="str">
        <f t="shared" si="1"/>
        <v/>
      </c>
      <c r="J19" s="12" t="str">
        <f>IFERROR(IF(VLOOKUP(D19,Table3[#All],5,0)&gt;G19,"","stock nill " &amp; VLOOKUP(D19,Table3[#All],5,0) &amp; "Pcs only"),"")</f>
        <v/>
      </c>
    </row>
    <row r="20" spans="2:10" x14ac:dyDescent="0.3">
      <c r="B20" s="11"/>
      <c r="C20" s="11"/>
      <c r="D20" s="11"/>
      <c r="E20" s="11" t="str">
        <f>IFERROR(VLOOKUP(D20,Table2[#All],2,0),"")</f>
        <v/>
      </c>
      <c r="F20" s="11" t="str">
        <f>IFERROR(VLOOKUP(D20,Table2[#All],5,0),"")</f>
        <v/>
      </c>
      <c r="G20" s="11"/>
      <c r="H20" s="11" t="str">
        <f t="shared" si="0"/>
        <v/>
      </c>
      <c r="I20" s="11" t="str">
        <f t="shared" si="1"/>
        <v/>
      </c>
      <c r="J20" s="12" t="str">
        <f>IFERROR(IF(VLOOKUP(D20,Table3[#All],5,0)&gt;G20,"","stock nill " &amp; VLOOKUP(D20,Table3[#All],5,0) &amp; "Pcs only"),"")</f>
        <v/>
      </c>
    </row>
    <row r="21" spans="2:10" x14ac:dyDescent="0.3">
      <c r="B21" s="11"/>
      <c r="C21" s="11"/>
      <c r="D21" s="11"/>
      <c r="E21" s="11" t="str">
        <f>IFERROR(VLOOKUP(D21,Table2[#All],2,0),"")</f>
        <v/>
      </c>
      <c r="F21" s="11" t="str">
        <f>IFERROR(VLOOKUP(D21,Table2[#All],5,0),"")</f>
        <v/>
      </c>
      <c r="G21" s="11"/>
      <c r="H21" s="11" t="str">
        <f t="shared" si="0"/>
        <v/>
      </c>
      <c r="I21" s="11" t="str">
        <f t="shared" si="1"/>
        <v/>
      </c>
      <c r="J21" s="12" t="str">
        <f>IFERROR(IF(VLOOKUP(D21,Table3[#All],5,0)&gt;G21,"","stock nill " &amp; VLOOKUP(D21,Table3[#All],5,0) &amp; "Pcs only"),"")</f>
        <v/>
      </c>
    </row>
    <row r="22" spans="2:10" x14ac:dyDescent="0.3">
      <c r="B22" s="11"/>
      <c r="C22" s="11"/>
      <c r="D22" s="11"/>
      <c r="E22" s="11" t="str">
        <f>IFERROR(VLOOKUP(D22,Table2[#All],2,0),"")</f>
        <v/>
      </c>
      <c r="F22" s="11" t="str">
        <f>IFERROR(VLOOKUP(D22,Table2[#All],5,0),"")</f>
        <v/>
      </c>
      <c r="G22" s="11"/>
      <c r="H22" s="11" t="str">
        <f t="shared" si="0"/>
        <v/>
      </c>
      <c r="I22" s="11" t="str">
        <f t="shared" si="1"/>
        <v/>
      </c>
      <c r="J22" s="12" t="str">
        <f>IFERROR(IF(VLOOKUP(D22,Table3[#All],5,0)&gt;G22,"","stock nill " &amp; VLOOKUP(D22,Table3[#All],5,0) &amp; "Pcs only"),"")</f>
        <v/>
      </c>
    </row>
    <row r="23" spans="2:10" x14ac:dyDescent="0.3">
      <c r="B23" s="11"/>
      <c r="C23" s="11"/>
      <c r="D23" s="11"/>
      <c r="E23" s="11" t="str">
        <f>IFERROR(VLOOKUP(D23,Table2[#All],2,0),"")</f>
        <v/>
      </c>
      <c r="F23" s="11" t="str">
        <f>IFERROR(VLOOKUP(D23,Table2[#All],5,0),"")</f>
        <v/>
      </c>
      <c r="G23" s="11"/>
      <c r="H23" s="11" t="str">
        <f t="shared" si="0"/>
        <v/>
      </c>
      <c r="I23" s="11" t="str">
        <f t="shared" si="1"/>
        <v/>
      </c>
      <c r="J23" s="12" t="str">
        <f>IFERROR(IF(VLOOKUP(D23,Table3[#All],5,0)&gt;G23,"","stock nill " &amp; VLOOKUP(D23,Table3[#All],5,0) &amp; "Pcs only"),"")</f>
        <v/>
      </c>
    </row>
    <row r="24" spans="2:10" x14ac:dyDescent="0.3">
      <c r="B24" s="11"/>
      <c r="C24" s="11"/>
      <c r="D24" s="11"/>
      <c r="E24" s="11" t="str">
        <f>IFERROR(VLOOKUP(D24,Table2[#All],2,0),"")</f>
        <v/>
      </c>
      <c r="F24" s="11" t="str">
        <f>IFERROR(VLOOKUP(D24,Table2[#All],5,0),"")</f>
        <v/>
      </c>
      <c r="G24" s="11"/>
      <c r="H24" s="11" t="str">
        <f t="shared" si="0"/>
        <v/>
      </c>
      <c r="I24" s="11" t="str">
        <f t="shared" si="1"/>
        <v/>
      </c>
      <c r="J24" s="12" t="str">
        <f>IFERROR(IF(VLOOKUP(D24,Table3[#All],5,0)&gt;G24,"","stock nill " &amp; VLOOKUP(D24,Table3[#All],5,0) &amp; "Pcs only"),"")</f>
        <v/>
      </c>
    </row>
    <row r="25" spans="2:10" x14ac:dyDescent="0.3">
      <c r="B25" s="11"/>
      <c r="C25" s="11"/>
      <c r="D25" s="11"/>
      <c r="E25" s="11" t="str">
        <f>IFERROR(VLOOKUP(D25,Table2[#All],2,0),"")</f>
        <v/>
      </c>
      <c r="F25" s="11" t="str">
        <f>IFERROR(VLOOKUP(D25,Table2[#All],5,0),"")</f>
        <v/>
      </c>
      <c r="G25" s="11"/>
      <c r="H25" s="11" t="str">
        <f t="shared" si="0"/>
        <v/>
      </c>
      <c r="I25" s="11" t="str">
        <f t="shared" si="1"/>
        <v/>
      </c>
      <c r="J25" s="12" t="str">
        <f>IFERROR(IF(VLOOKUP(D25,Table3[#All],5,0)&gt;G25,"","stock nill " &amp; VLOOKUP(D25,Table3[#All],5,0) &amp; "Pcs only"),"")</f>
        <v/>
      </c>
    </row>
    <row r="26" spans="2:10" x14ac:dyDescent="0.3">
      <c r="B26" s="11"/>
      <c r="C26" s="11"/>
      <c r="D26" s="11"/>
      <c r="E26" s="11" t="str">
        <f>IFERROR(VLOOKUP(D26,Table2[#All],2,0),"")</f>
        <v/>
      </c>
      <c r="F26" s="11" t="str">
        <f>IFERROR(VLOOKUP(D26,Table2[#All],5,0),"")</f>
        <v/>
      </c>
      <c r="G26" s="11"/>
      <c r="H26" s="11" t="str">
        <f t="shared" si="0"/>
        <v/>
      </c>
      <c r="I26" s="11" t="str">
        <f t="shared" si="1"/>
        <v/>
      </c>
      <c r="J26" s="12" t="str">
        <f>IFERROR(IF(VLOOKUP(D26,Table3[#All],5,0)&gt;G26,"","stock nill " &amp; VLOOKUP(D26,Table3[#All],5,0) &amp; "Pcs only"),"")</f>
        <v/>
      </c>
    </row>
    <row r="27" spans="2:10" x14ac:dyDescent="0.3">
      <c r="B27" s="11"/>
      <c r="C27" s="11"/>
      <c r="D27" s="11"/>
      <c r="E27" s="11" t="str">
        <f>IFERROR(VLOOKUP(D27,Table2[#All],2,0),"")</f>
        <v/>
      </c>
      <c r="F27" s="11" t="str">
        <f>IFERROR(VLOOKUP(D27,Table2[#All],5,0),"")</f>
        <v/>
      </c>
      <c r="G27" s="11"/>
      <c r="H27" s="11" t="str">
        <f t="shared" si="0"/>
        <v/>
      </c>
      <c r="I27" s="11" t="str">
        <f t="shared" si="1"/>
        <v/>
      </c>
      <c r="J27" s="12" t="str">
        <f>IFERROR(IF(VLOOKUP(D27,Table3[#All],5,0)&gt;G27,"","stock nill " &amp; VLOOKUP(D27,Table3[#All],5,0) &amp; "Pcs only"),"")</f>
        <v/>
      </c>
    </row>
    <row r="28" spans="2:10" x14ac:dyDescent="0.3">
      <c r="B28" s="11"/>
      <c r="C28" s="11"/>
      <c r="D28" s="11"/>
      <c r="E28" s="11" t="str">
        <f>IFERROR(VLOOKUP(D28,Table2[#All],2,0),"")</f>
        <v/>
      </c>
      <c r="F28" s="11" t="str">
        <f>IFERROR(VLOOKUP(D28,Table2[#All],5,0),"")</f>
        <v/>
      </c>
      <c r="G28" s="11"/>
      <c r="H28" s="11" t="str">
        <f t="shared" si="0"/>
        <v/>
      </c>
      <c r="I28" s="11" t="str">
        <f t="shared" si="1"/>
        <v/>
      </c>
      <c r="J28" s="12" t="str">
        <f>IFERROR(IF(VLOOKUP(D28,Table3[#All],5,0)&gt;G28,"","stock nill " &amp; VLOOKUP(D28,Table3[#All],5,0) &amp; "Pcs only"),"")</f>
        <v/>
      </c>
    </row>
    <row r="29" spans="2:10" x14ac:dyDescent="0.3">
      <c r="B29" s="11"/>
      <c r="C29" s="11"/>
      <c r="D29" s="11"/>
      <c r="E29" s="11" t="str">
        <f>IFERROR(VLOOKUP(D29,Table2[#All],2,0),"")</f>
        <v/>
      </c>
      <c r="F29" s="11" t="str">
        <f>IFERROR(VLOOKUP(D29,Table2[#All],5,0),"")</f>
        <v/>
      </c>
      <c r="G29" s="11"/>
      <c r="H29" s="11" t="str">
        <f t="shared" si="0"/>
        <v/>
      </c>
      <c r="I29" s="11" t="str">
        <f t="shared" si="1"/>
        <v/>
      </c>
      <c r="J29" s="12" t="str">
        <f>IFERROR(IF(VLOOKUP(D29,Table3[#All],5,0)&gt;G29,"","stock nill " &amp; VLOOKUP(D29,Table3[#All],5,0) &amp; "Pcs only"),"")</f>
        <v/>
      </c>
    </row>
    <row r="30" spans="2:10" x14ac:dyDescent="0.3">
      <c r="B30" s="11"/>
      <c r="C30" s="11"/>
      <c r="D30" s="11"/>
      <c r="E30" s="11" t="str">
        <f>IFERROR(VLOOKUP(D30,Table2[#All],2,0),"")</f>
        <v/>
      </c>
      <c r="F30" s="11" t="str">
        <f>IFERROR(VLOOKUP(D30,Table2[#All],5,0),"")</f>
        <v/>
      </c>
      <c r="G30" s="11"/>
      <c r="H30" s="11" t="str">
        <f t="shared" si="0"/>
        <v/>
      </c>
      <c r="I30" s="11" t="str">
        <f t="shared" si="1"/>
        <v/>
      </c>
      <c r="J30" s="12" t="str">
        <f>IFERROR(IF(VLOOKUP(D30,Table3[#All],5,0)&gt;G30,"","stock nill " &amp; VLOOKUP(D30,Table3[#All],5,0) &amp; "Pcs only"),"")</f>
        <v/>
      </c>
    </row>
    <row r="31" spans="2:10" x14ac:dyDescent="0.3">
      <c r="B31" s="11"/>
      <c r="C31" s="11"/>
      <c r="D31" s="11"/>
      <c r="E31" s="11" t="str">
        <f>IFERROR(VLOOKUP(D31,Table2[#All],2,0),"")</f>
        <v/>
      </c>
      <c r="F31" s="11" t="str">
        <f>IFERROR(VLOOKUP(D31,Table2[#All],5,0),"")</f>
        <v/>
      </c>
      <c r="G31" s="11"/>
      <c r="H31" s="11" t="str">
        <f t="shared" si="0"/>
        <v/>
      </c>
      <c r="I31" s="11" t="str">
        <f t="shared" si="1"/>
        <v/>
      </c>
      <c r="J31" s="12" t="str">
        <f>IFERROR(IF(VLOOKUP(D31,Table3[#All],5,0)&gt;G31,"","stock nill " &amp; VLOOKUP(D31,Table3[#All],5,0) &amp; "Pcs only"),"")</f>
        <v/>
      </c>
    </row>
    <row r="33" spans="2:9" x14ac:dyDescent="0.3">
      <c r="G33" s="18" t="s">
        <v>14</v>
      </c>
      <c r="H33" s="19"/>
      <c r="I33" s="3">
        <f>SUM(invoice!$I$16:$I$31)</f>
        <v>0</v>
      </c>
    </row>
    <row r="34" spans="2:9" x14ac:dyDescent="0.3">
      <c r="G34" s="5"/>
      <c r="H34" s="6"/>
    </row>
    <row r="37" spans="2:9" x14ac:dyDescent="0.3">
      <c r="B37" s="20" t="s">
        <v>15</v>
      </c>
      <c r="C37" s="20"/>
      <c r="D37" s="20"/>
      <c r="G37" s="20" t="s">
        <v>16</v>
      </c>
      <c r="H37" s="20"/>
      <c r="I37" s="20"/>
    </row>
    <row r="39" spans="2:9" x14ac:dyDescent="0.3">
      <c r="B39" s="13" t="s">
        <v>17</v>
      </c>
      <c r="C39" s="14"/>
      <c r="D39" s="14"/>
      <c r="E39" s="14"/>
      <c r="F39" s="14"/>
      <c r="G39" s="14"/>
      <c r="H39" s="14"/>
      <c r="I39" s="14"/>
    </row>
    <row r="40" spans="2:9" x14ac:dyDescent="0.3">
      <c r="B40" s="14"/>
      <c r="C40" s="14"/>
      <c r="D40" s="14"/>
      <c r="E40" s="14"/>
      <c r="F40" s="14"/>
      <c r="G40" s="14"/>
      <c r="H40" s="14"/>
      <c r="I40" s="14"/>
    </row>
  </sheetData>
  <mergeCells count="15">
    <mergeCell ref="B2:I3"/>
    <mergeCell ref="B4:I4"/>
    <mergeCell ref="B6:I6"/>
    <mergeCell ref="B9:C9"/>
    <mergeCell ref="B10:C10"/>
    <mergeCell ref="D9:E9"/>
    <mergeCell ref="B39:I40"/>
    <mergeCell ref="D10:E10"/>
    <mergeCell ref="D11:E11"/>
    <mergeCell ref="G9:H9"/>
    <mergeCell ref="G10:H10"/>
    <mergeCell ref="G33:H33"/>
    <mergeCell ref="B37:D37"/>
    <mergeCell ref="G37:I37"/>
    <mergeCell ref="B11:C11"/>
  </mergeCells>
  <pageMargins left="0.7" right="0.7" top="0.75" bottom="0.75" header="0.3" footer="0.3"/>
  <pageSetup orientation="portrait" r:id="rId1"/>
  <headerFooter>
    <oddHeader>&amp;C&amp;"Algerian,Regular"&amp;20IVoice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BCB75-9D36-457A-A210-F65A18CF42CA}">
  <sheetPr codeName="Sheet3"/>
  <dimension ref="B2:F10"/>
  <sheetViews>
    <sheetView topLeftCell="B1" workbookViewId="0">
      <selection activeCell="F5" sqref="F5"/>
    </sheetView>
  </sheetViews>
  <sheetFormatPr defaultRowHeight="14.4" x14ac:dyDescent="0.3"/>
  <cols>
    <col min="2" max="2" width="12.5546875" customWidth="1"/>
    <col min="3" max="3" width="18.44140625" customWidth="1"/>
    <col min="4" max="4" width="10.5546875" customWidth="1"/>
    <col min="6" max="6" width="10.5546875" customWidth="1"/>
  </cols>
  <sheetData>
    <row r="2" spans="2:6" ht="22.8" x14ac:dyDescent="0.45">
      <c r="B2" s="24" t="s">
        <v>22</v>
      </c>
      <c r="C2" s="24"/>
      <c r="D2" s="24"/>
      <c r="E2" s="24"/>
      <c r="F2" s="24"/>
    </row>
    <row r="4" spans="2:6" x14ac:dyDescent="0.3">
      <c r="B4" s="7" t="s">
        <v>18</v>
      </c>
      <c r="C4" s="7" t="s">
        <v>19</v>
      </c>
      <c r="D4" s="7" t="s">
        <v>20</v>
      </c>
      <c r="E4" s="7" t="s">
        <v>5</v>
      </c>
      <c r="F4" s="7" t="s">
        <v>21</v>
      </c>
    </row>
    <row r="5" spans="2:6" x14ac:dyDescent="0.3">
      <c r="B5">
        <v>1001</v>
      </c>
      <c r="C5" t="s">
        <v>31</v>
      </c>
      <c r="D5">
        <v>5000</v>
      </c>
      <c r="E5">
        <v>100</v>
      </c>
      <c r="F5">
        <v>6000</v>
      </c>
    </row>
    <row r="6" spans="2:6" x14ac:dyDescent="0.3">
      <c r="B6">
        <v>1002</v>
      </c>
      <c r="C6" t="s">
        <v>32</v>
      </c>
      <c r="D6">
        <v>5500</v>
      </c>
      <c r="E6">
        <v>75</v>
      </c>
      <c r="F6">
        <v>6500</v>
      </c>
    </row>
    <row r="7" spans="2:6" x14ac:dyDescent="0.3">
      <c r="B7">
        <v>1003</v>
      </c>
      <c r="C7" t="s">
        <v>33</v>
      </c>
      <c r="D7">
        <v>2000</v>
      </c>
      <c r="E7">
        <v>75</v>
      </c>
      <c r="F7">
        <v>2500</v>
      </c>
    </row>
    <row r="8" spans="2:6" x14ac:dyDescent="0.3">
      <c r="B8">
        <v>1004</v>
      </c>
      <c r="C8" t="s">
        <v>34</v>
      </c>
      <c r="D8">
        <v>1500</v>
      </c>
      <c r="E8">
        <v>50</v>
      </c>
      <c r="F8">
        <v>1800</v>
      </c>
    </row>
    <row r="9" spans="2:6" x14ac:dyDescent="0.3">
      <c r="B9">
        <v>1005</v>
      </c>
      <c r="C9" t="s">
        <v>36</v>
      </c>
      <c r="D9">
        <v>5200</v>
      </c>
      <c r="E9">
        <v>20</v>
      </c>
      <c r="F9">
        <v>6000</v>
      </c>
    </row>
    <row r="10" spans="2:6" x14ac:dyDescent="0.3">
      <c r="B10">
        <v>1006</v>
      </c>
      <c r="C10" t="s">
        <v>35</v>
      </c>
      <c r="D10">
        <v>1300</v>
      </c>
      <c r="E10">
        <v>33</v>
      </c>
      <c r="F10">
        <v>1700</v>
      </c>
    </row>
  </sheetData>
  <mergeCells count="1">
    <mergeCell ref="B2:F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22663-21EA-4B1D-B5CC-D8300348A583}">
  <sheetPr codeName="Sheet4"/>
  <dimension ref="B2:I276"/>
  <sheetViews>
    <sheetView topLeftCell="E22" zoomScale="122" workbookViewId="0">
      <selection activeCell="I23" sqref="I23"/>
    </sheetView>
  </sheetViews>
  <sheetFormatPr defaultRowHeight="14.4" x14ac:dyDescent="0.3"/>
  <cols>
    <col min="3" max="3" width="11.88671875" customWidth="1"/>
    <col min="4" max="4" width="11.33203125" customWidth="1"/>
    <col min="5" max="5" width="13.33203125" customWidth="1"/>
    <col min="6" max="6" width="10.77734375" customWidth="1"/>
    <col min="7" max="7" width="11.109375" customWidth="1"/>
    <col min="8" max="8" width="12" customWidth="1"/>
    <col min="9" max="9" width="12.6640625" customWidth="1"/>
  </cols>
  <sheetData>
    <row r="2" spans="2:9" ht="25.2" x14ac:dyDescent="0.5">
      <c r="B2" s="25" t="s">
        <v>27</v>
      </c>
      <c r="C2" s="25"/>
      <c r="D2" s="25"/>
      <c r="E2" s="25"/>
      <c r="F2" s="25"/>
      <c r="G2" s="25"/>
      <c r="H2" s="25"/>
      <c r="I2" s="25"/>
    </row>
    <row r="4" spans="2:9" ht="15" thickBot="1" x14ac:dyDescent="0.35">
      <c r="B4" s="8" t="s">
        <v>0</v>
      </c>
      <c r="C4" s="8" t="s">
        <v>1</v>
      </c>
      <c r="D4" s="8" t="s">
        <v>2</v>
      </c>
      <c r="E4" s="8" t="s">
        <v>3</v>
      </c>
      <c r="F4" s="8" t="s">
        <v>4</v>
      </c>
      <c r="G4" s="8" t="s">
        <v>5</v>
      </c>
      <c r="H4" s="8" t="s">
        <v>6</v>
      </c>
      <c r="I4" s="8" t="s">
        <v>7</v>
      </c>
    </row>
    <row r="5" spans="2:9" x14ac:dyDescent="0.3">
      <c r="C5">
        <v>13</v>
      </c>
      <c r="E5" t="s">
        <v>29</v>
      </c>
      <c r="F5" t="s">
        <v>29</v>
      </c>
      <c r="H5" t="s">
        <v>29</v>
      </c>
      <c r="I5" t="s">
        <v>29</v>
      </c>
    </row>
    <row r="6" spans="2:9" x14ac:dyDescent="0.3">
      <c r="C6">
        <v>13</v>
      </c>
      <c r="E6" t="s">
        <v>29</v>
      </c>
      <c r="F6" t="s">
        <v>29</v>
      </c>
      <c r="H6" t="s">
        <v>29</v>
      </c>
      <c r="I6" t="s">
        <v>29</v>
      </c>
    </row>
    <row r="7" spans="2:9" x14ac:dyDescent="0.3">
      <c r="C7">
        <v>13</v>
      </c>
      <c r="E7" t="s">
        <v>29</v>
      </c>
      <c r="F7" t="s">
        <v>29</v>
      </c>
      <c r="H7" t="s">
        <v>29</v>
      </c>
      <c r="I7" t="s">
        <v>29</v>
      </c>
    </row>
    <row r="8" spans="2:9" x14ac:dyDescent="0.3">
      <c r="E8" t="s">
        <v>29</v>
      </c>
      <c r="F8" t="s">
        <v>29</v>
      </c>
      <c r="H8" t="s">
        <v>29</v>
      </c>
      <c r="I8" t="s">
        <v>29</v>
      </c>
    </row>
    <row r="9" spans="2:9" x14ac:dyDescent="0.3">
      <c r="E9" t="s">
        <v>29</v>
      </c>
      <c r="F9" t="s">
        <v>29</v>
      </c>
      <c r="H9" t="s">
        <v>29</v>
      </c>
      <c r="I9" t="s">
        <v>29</v>
      </c>
    </row>
    <row r="10" spans="2:9" x14ac:dyDescent="0.3">
      <c r="E10" t="s">
        <v>29</v>
      </c>
      <c r="F10" t="s">
        <v>29</v>
      </c>
      <c r="H10" t="s">
        <v>29</v>
      </c>
      <c r="I10" t="s">
        <v>29</v>
      </c>
    </row>
    <row r="11" spans="2:9" x14ac:dyDescent="0.3">
      <c r="E11" t="s">
        <v>29</v>
      </c>
      <c r="F11" t="s">
        <v>29</v>
      </c>
      <c r="H11" t="s">
        <v>29</v>
      </c>
      <c r="I11" t="s">
        <v>29</v>
      </c>
    </row>
    <row r="12" spans="2:9" x14ac:dyDescent="0.3">
      <c r="E12" t="s">
        <v>29</v>
      </c>
      <c r="F12" t="s">
        <v>29</v>
      </c>
      <c r="H12" t="s">
        <v>29</v>
      </c>
      <c r="I12" t="s">
        <v>29</v>
      </c>
    </row>
    <row r="13" spans="2:9" x14ac:dyDescent="0.3">
      <c r="E13" t="s">
        <v>29</v>
      </c>
      <c r="F13" t="s">
        <v>29</v>
      </c>
      <c r="H13" t="s">
        <v>29</v>
      </c>
      <c r="I13" t="s">
        <v>29</v>
      </c>
    </row>
    <row r="14" spans="2:9" x14ac:dyDescent="0.3">
      <c r="E14" t="s">
        <v>29</v>
      </c>
      <c r="F14" t="s">
        <v>29</v>
      </c>
      <c r="H14" t="s">
        <v>29</v>
      </c>
      <c r="I14" t="s">
        <v>29</v>
      </c>
    </row>
    <row r="15" spans="2:9" x14ac:dyDescent="0.3">
      <c r="E15" t="s">
        <v>29</v>
      </c>
      <c r="F15" t="s">
        <v>29</v>
      </c>
      <c r="H15" t="s">
        <v>29</v>
      </c>
      <c r="I15" t="s">
        <v>29</v>
      </c>
    </row>
    <row r="16" spans="2:9" x14ac:dyDescent="0.3">
      <c r="E16" t="s">
        <v>29</v>
      </c>
      <c r="F16" t="s">
        <v>29</v>
      </c>
      <c r="H16" t="s">
        <v>29</v>
      </c>
      <c r="I16" t="s">
        <v>29</v>
      </c>
    </row>
    <row r="17" spans="2:9" x14ac:dyDescent="0.3">
      <c r="E17" t="s">
        <v>29</v>
      </c>
      <c r="F17" t="s">
        <v>29</v>
      </c>
      <c r="H17" t="s">
        <v>29</v>
      </c>
      <c r="I17" t="s">
        <v>29</v>
      </c>
    </row>
    <row r="18" spans="2:9" x14ac:dyDescent="0.3">
      <c r="E18" t="s">
        <v>29</v>
      </c>
      <c r="F18" t="s">
        <v>29</v>
      </c>
      <c r="H18" t="s">
        <v>29</v>
      </c>
      <c r="I18" t="s">
        <v>29</v>
      </c>
    </row>
    <row r="19" spans="2:9" x14ac:dyDescent="0.3">
      <c r="E19" t="s">
        <v>29</v>
      </c>
      <c r="F19" t="s">
        <v>29</v>
      </c>
      <c r="H19" t="s">
        <v>29</v>
      </c>
      <c r="I19" t="s">
        <v>29</v>
      </c>
    </row>
    <row r="20" spans="2:9" x14ac:dyDescent="0.3">
      <c r="E20" t="s">
        <v>29</v>
      </c>
      <c r="F20" t="s">
        <v>29</v>
      </c>
      <c r="H20" t="s">
        <v>29</v>
      </c>
      <c r="I20" t="s">
        <v>29</v>
      </c>
    </row>
    <row r="22" spans="2:9" x14ac:dyDescent="0.3">
      <c r="G22" t="s">
        <v>14</v>
      </c>
      <c r="I22">
        <v>0</v>
      </c>
    </row>
    <row r="26" spans="2:9" x14ac:dyDescent="0.3">
      <c r="B26" t="s">
        <v>15</v>
      </c>
      <c r="G26" t="s">
        <v>16</v>
      </c>
    </row>
    <row r="27" spans="2:9" x14ac:dyDescent="0.3">
      <c r="B27">
        <v>1</v>
      </c>
      <c r="C27">
        <v>12</v>
      </c>
      <c r="D27">
        <v>1001</v>
      </c>
      <c r="E27" t="s">
        <v>31</v>
      </c>
      <c r="F27">
        <v>6000</v>
      </c>
      <c r="G27">
        <v>12</v>
      </c>
      <c r="H27">
        <v>10800</v>
      </c>
      <c r="I27">
        <v>82800</v>
      </c>
    </row>
    <row r="28" spans="2:9" x14ac:dyDescent="0.3">
      <c r="B28">
        <v>2</v>
      </c>
      <c r="C28">
        <v>12</v>
      </c>
      <c r="D28">
        <v>1002</v>
      </c>
      <c r="E28" t="s">
        <v>32</v>
      </c>
      <c r="F28">
        <v>6500</v>
      </c>
      <c r="G28">
        <v>3</v>
      </c>
      <c r="H28">
        <v>2925</v>
      </c>
      <c r="I28">
        <v>22425</v>
      </c>
    </row>
    <row r="29" spans="2:9" x14ac:dyDescent="0.3">
      <c r="B29">
        <v>3</v>
      </c>
      <c r="C29">
        <v>12</v>
      </c>
      <c r="D29">
        <v>1003</v>
      </c>
      <c r="E29" t="s">
        <v>33</v>
      </c>
      <c r="F29">
        <v>2500</v>
      </c>
      <c r="G29">
        <v>4</v>
      </c>
      <c r="H29">
        <v>1500</v>
      </c>
      <c r="I29">
        <v>11500</v>
      </c>
    </row>
    <row r="30" spans="2:9" x14ac:dyDescent="0.3">
      <c r="B30">
        <v>4</v>
      </c>
      <c r="E30" t="s">
        <v>29</v>
      </c>
      <c r="F30" t="s">
        <v>29</v>
      </c>
      <c r="H30" t="s">
        <v>29</v>
      </c>
      <c r="I30" t="s">
        <v>29</v>
      </c>
    </row>
    <row r="31" spans="2:9" x14ac:dyDescent="0.3">
      <c r="C31">
        <v>11</v>
      </c>
      <c r="E31" t="s">
        <v>29</v>
      </c>
      <c r="F31" t="s">
        <v>29</v>
      </c>
      <c r="H31" t="s">
        <v>29</v>
      </c>
      <c r="I31" t="s">
        <v>29</v>
      </c>
    </row>
    <row r="32" spans="2:9" x14ac:dyDescent="0.3">
      <c r="E32" t="s">
        <v>29</v>
      </c>
      <c r="F32" t="s">
        <v>29</v>
      </c>
      <c r="H32" t="s">
        <v>29</v>
      </c>
      <c r="I32" t="s">
        <v>29</v>
      </c>
    </row>
    <row r="33" spans="5:9" x14ac:dyDescent="0.3">
      <c r="E33" t="s">
        <v>29</v>
      </c>
      <c r="F33" t="s">
        <v>29</v>
      </c>
      <c r="H33" t="s">
        <v>29</v>
      </c>
      <c r="I33" t="s">
        <v>29</v>
      </c>
    </row>
    <row r="34" spans="5:9" x14ac:dyDescent="0.3">
      <c r="E34" t="s">
        <v>29</v>
      </c>
      <c r="F34" t="s">
        <v>29</v>
      </c>
      <c r="H34" t="s">
        <v>29</v>
      </c>
      <c r="I34" t="s">
        <v>29</v>
      </c>
    </row>
    <row r="35" spans="5:9" x14ac:dyDescent="0.3">
      <c r="E35" t="s">
        <v>29</v>
      </c>
      <c r="F35" t="s">
        <v>29</v>
      </c>
      <c r="H35" t="s">
        <v>29</v>
      </c>
      <c r="I35" t="s">
        <v>29</v>
      </c>
    </row>
    <row r="36" spans="5:9" x14ac:dyDescent="0.3">
      <c r="E36" t="s">
        <v>29</v>
      </c>
      <c r="F36" t="s">
        <v>29</v>
      </c>
      <c r="H36" t="s">
        <v>29</v>
      </c>
      <c r="I36" t="s">
        <v>29</v>
      </c>
    </row>
    <row r="37" spans="5:9" x14ac:dyDescent="0.3">
      <c r="E37" t="s">
        <v>29</v>
      </c>
      <c r="F37" t="s">
        <v>29</v>
      </c>
      <c r="H37" t="s">
        <v>29</v>
      </c>
      <c r="I37" t="s">
        <v>29</v>
      </c>
    </row>
    <row r="38" spans="5:9" x14ac:dyDescent="0.3">
      <c r="E38" t="s">
        <v>29</v>
      </c>
      <c r="F38" t="s">
        <v>29</v>
      </c>
      <c r="H38" t="s">
        <v>29</v>
      </c>
      <c r="I38" t="s">
        <v>29</v>
      </c>
    </row>
    <row r="39" spans="5:9" x14ac:dyDescent="0.3">
      <c r="E39" t="s">
        <v>29</v>
      </c>
      <c r="F39" t="s">
        <v>29</v>
      </c>
      <c r="H39" t="s">
        <v>29</v>
      </c>
      <c r="I39" t="s">
        <v>29</v>
      </c>
    </row>
    <row r="40" spans="5:9" x14ac:dyDescent="0.3">
      <c r="E40" t="s">
        <v>29</v>
      </c>
      <c r="F40" t="s">
        <v>29</v>
      </c>
      <c r="H40" t="s">
        <v>29</v>
      </c>
      <c r="I40" t="s">
        <v>29</v>
      </c>
    </row>
    <row r="41" spans="5:9" x14ac:dyDescent="0.3">
      <c r="E41" t="s">
        <v>29</v>
      </c>
      <c r="F41" t="s">
        <v>29</v>
      </c>
      <c r="H41" t="s">
        <v>29</v>
      </c>
      <c r="I41" t="s">
        <v>29</v>
      </c>
    </row>
    <row r="42" spans="5:9" x14ac:dyDescent="0.3">
      <c r="E42" t="s">
        <v>29</v>
      </c>
      <c r="F42" t="s">
        <v>29</v>
      </c>
      <c r="H42" t="s">
        <v>29</v>
      </c>
      <c r="I42" t="s">
        <v>29</v>
      </c>
    </row>
    <row r="43" spans="5:9" x14ac:dyDescent="0.3">
      <c r="E43" t="s">
        <v>29</v>
      </c>
      <c r="F43" t="s">
        <v>29</v>
      </c>
      <c r="H43" t="s">
        <v>29</v>
      </c>
      <c r="I43" t="s">
        <v>29</v>
      </c>
    </row>
    <row r="44" spans="5:9" x14ac:dyDescent="0.3">
      <c r="E44" t="s">
        <v>29</v>
      </c>
      <c r="F44" t="s">
        <v>29</v>
      </c>
      <c r="H44" t="s">
        <v>29</v>
      </c>
      <c r="I44" t="s">
        <v>29</v>
      </c>
    </row>
    <row r="45" spans="5:9" x14ac:dyDescent="0.3">
      <c r="E45" t="s">
        <v>29</v>
      </c>
      <c r="F45" t="s">
        <v>29</v>
      </c>
      <c r="H45" t="s">
        <v>29</v>
      </c>
      <c r="I45" t="s">
        <v>29</v>
      </c>
    </row>
    <row r="46" spans="5:9" x14ac:dyDescent="0.3">
      <c r="E46" t="s">
        <v>29</v>
      </c>
      <c r="F46" t="s">
        <v>29</v>
      </c>
      <c r="H46" t="s">
        <v>29</v>
      </c>
      <c r="I46" t="s">
        <v>29</v>
      </c>
    </row>
    <row r="48" spans="5:9" x14ac:dyDescent="0.3">
      <c r="G48" t="s">
        <v>14</v>
      </c>
      <c r="I48">
        <v>0</v>
      </c>
    </row>
    <row r="52" spans="2:9" x14ac:dyDescent="0.3">
      <c r="B52" t="s">
        <v>15</v>
      </c>
      <c r="G52" t="s">
        <v>16</v>
      </c>
    </row>
    <row r="53" spans="2:9" x14ac:dyDescent="0.3">
      <c r="C53">
        <v>10</v>
      </c>
      <c r="E53" t="s">
        <v>29</v>
      </c>
      <c r="F53" t="s">
        <v>29</v>
      </c>
      <c r="H53" t="s">
        <v>29</v>
      </c>
      <c r="I53" t="s">
        <v>29</v>
      </c>
    </row>
    <row r="54" spans="2:9" x14ac:dyDescent="0.3">
      <c r="E54" t="s">
        <v>29</v>
      </c>
      <c r="F54" t="s">
        <v>29</v>
      </c>
      <c r="H54" t="s">
        <v>29</v>
      </c>
      <c r="I54" t="s">
        <v>29</v>
      </c>
    </row>
    <row r="55" spans="2:9" x14ac:dyDescent="0.3">
      <c r="E55" t="s">
        <v>29</v>
      </c>
      <c r="F55" t="s">
        <v>29</v>
      </c>
      <c r="H55" t="s">
        <v>29</v>
      </c>
      <c r="I55" t="s">
        <v>29</v>
      </c>
    </row>
    <row r="56" spans="2:9" x14ac:dyDescent="0.3">
      <c r="E56" t="s">
        <v>29</v>
      </c>
      <c r="F56" t="s">
        <v>29</v>
      </c>
      <c r="H56" t="s">
        <v>29</v>
      </c>
      <c r="I56" t="s">
        <v>29</v>
      </c>
    </row>
    <row r="57" spans="2:9" x14ac:dyDescent="0.3">
      <c r="E57" t="s">
        <v>29</v>
      </c>
      <c r="F57" t="s">
        <v>29</v>
      </c>
      <c r="H57" t="s">
        <v>29</v>
      </c>
      <c r="I57" t="s">
        <v>29</v>
      </c>
    </row>
    <row r="58" spans="2:9" x14ac:dyDescent="0.3">
      <c r="E58" t="s">
        <v>29</v>
      </c>
      <c r="F58" t="s">
        <v>29</v>
      </c>
      <c r="H58" t="s">
        <v>29</v>
      </c>
      <c r="I58" t="s">
        <v>29</v>
      </c>
    </row>
    <row r="59" spans="2:9" x14ac:dyDescent="0.3">
      <c r="E59" t="s">
        <v>29</v>
      </c>
      <c r="F59" t="s">
        <v>29</v>
      </c>
      <c r="H59" t="s">
        <v>29</v>
      </c>
      <c r="I59" t="s">
        <v>29</v>
      </c>
    </row>
    <row r="60" spans="2:9" x14ac:dyDescent="0.3">
      <c r="E60" t="s">
        <v>29</v>
      </c>
      <c r="F60" t="s">
        <v>29</v>
      </c>
      <c r="H60" t="s">
        <v>29</v>
      </c>
      <c r="I60" t="s">
        <v>29</v>
      </c>
    </row>
    <row r="61" spans="2:9" x14ac:dyDescent="0.3">
      <c r="E61" t="s">
        <v>29</v>
      </c>
      <c r="F61" t="s">
        <v>29</v>
      </c>
      <c r="H61" t="s">
        <v>29</v>
      </c>
      <c r="I61" t="s">
        <v>29</v>
      </c>
    </row>
    <row r="62" spans="2:9" x14ac:dyDescent="0.3">
      <c r="E62" t="s">
        <v>29</v>
      </c>
      <c r="F62" t="s">
        <v>29</v>
      </c>
      <c r="H62" t="s">
        <v>29</v>
      </c>
      <c r="I62" t="s">
        <v>29</v>
      </c>
    </row>
    <row r="63" spans="2:9" x14ac:dyDescent="0.3">
      <c r="E63" t="s">
        <v>29</v>
      </c>
      <c r="F63" t="s">
        <v>29</v>
      </c>
      <c r="H63" t="s">
        <v>29</v>
      </c>
      <c r="I63" t="s">
        <v>29</v>
      </c>
    </row>
    <row r="64" spans="2:9" x14ac:dyDescent="0.3">
      <c r="E64" t="s">
        <v>29</v>
      </c>
      <c r="F64" t="s">
        <v>29</v>
      </c>
      <c r="H64" t="s">
        <v>29</v>
      </c>
      <c r="I64" t="s">
        <v>29</v>
      </c>
    </row>
    <row r="65" spans="2:9" x14ac:dyDescent="0.3">
      <c r="E65" t="s">
        <v>29</v>
      </c>
      <c r="F65" t="s">
        <v>29</v>
      </c>
      <c r="H65" t="s">
        <v>29</v>
      </c>
      <c r="I65" t="s">
        <v>29</v>
      </c>
    </row>
    <row r="66" spans="2:9" x14ac:dyDescent="0.3">
      <c r="E66" t="s">
        <v>29</v>
      </c>
      <c r="F66" t="s">
        <v>29</v>
      </c>
      <c r="H66" t="s">
        <v>29</v>
      </c>
      <c r="I66" t="s">
        <v>29</v>
      </c>
    </row>
    <row r="67" spans="2:9" x14ac:dyDescent="0.3">
      <c r="E67" t="s">
        <v>29</v>
      </c>
      <c r="F67" t="s">
        <v>29</v>
      </c>
      <c r="H67" t="s">
        <v>29</v>
      </c>
      <c r="I67" t="s">
        <v>29</v>
      </c>
    </row>
    <row r="68" spans="2:9" x14ac:dyDescent="0.3">
      <c r="E68" t="s">
        <v>29</v>
      </c>
      <c r="F68" t="s">
        <v>29</v>
      </c>
      <c r="H68" t="s">
        <v>29</v>
      </c>
      <c r="I68" t="s">
        <v>29</v>
      </c>
    </row>
    <row r="70" spans="2:9" x14ac:dyDescent="0.3">
      <c r="G70" t="s">
        <v>14</v>
      </c>
      <c r="I70">
        <v>0</v>
      </c>
    </row>
    <row r="74" spans="2:9" x14ac:dyDescent="0.3">
      <c r="B74" t="s">
        <v>15</v>
      </c>
      <c r="G74" t="s">
        <v>16</v>
      </c>
    </row>
    <row r="75" spans="2:9" x14ac:dyDescent="0.3">
      <c r="C75">
        <v>9</v>
      </c>
      <c r="E75" t="s">
        <v>29</v>
      </c>
      <c r="F75" t="s">
        <v>29</v>
      </c>
      <c r="H75" t="s">
        <v>29</v>
      </c>
      <c r="I75" t="s">
        <v>29</v>
      </c>
    </row>
    <row r="76" spans="2:9" x14ac:dyDescent="0.3">
      <c r="E76" t="s">
        <v>29</v>
      </c>
      <c r="F76" t="s">
        <v>29</v>
      </c>
      <c r="H76" t="s">
        <v>29</v>
      </c>
      <c r="I76" t="s">
        <v>29</v>
      </c>
    </row>
    <row r="77" spans="2:9" x14ac:dyDescent="0.3">
      <c r="E77" t="s">
        <v>29</v>
      </c>
      <c r="F77" t="s">
        <v>29</v>
      </c>
      <c r="H77" t="s">
        <v>29</v>
      </c>
      <c r="I77" t="s">
        <v>29</v>
      </c>
    </row>
    <row r="78" spans="2:9" x14ac:dyDescent="0.3">
      <c r="E78" t="s">
        <v>29</v>
      </c>
      <c r="F78" t="s">
        <v>29</v>
      </c>
      <c r="H78" t="s">
        <v>29</v>
      </c>
      <c r="I78" t="s">
        <v>29</v>
      </c>
    </row>
    <row r="79" spans="2:9" x14ac:dyDescent="0.3">
      <c r="E79" t="s">
        <v>29</v>
      </c>
      <c r="F79" t="s">
        <v>29</v>
      </c>
      <c r="H79" t="s">
        <v>29</v>
      </c>
      <c r="I79" t="s">
        <v>29</v>
      </c>
    </row>
    <row r="80" spans="2:9" x14ac:dyDescent="0.3">
      <c r="E80" t="s">
        <v>29</v>
      </c>
      <c r="F80" t="s">
        <v>29</v>
      </c>
      <c r="H80" t="s">
        <v>29</v>
      </c>
      <c r="I80" t="s">
        <v>29</v>
      </c>
    </row>
    <row r="81" spans="2:9" x14ac:dyDescent="0.3">
      <c r="E81" t="s">
        <v>29</v>
      </c>
      <c r="F81" t="s">
        <v>29</v>
      </c>
      <c r="H81" t="s">
        <v>29</v>
      </c>
      <c r="I81" t="s">
        <v>29</v>
      </c>
    </row>
    <row r="82" spans="2:9" x14ac:dyDescent="0.3">
      <c r="E82" t="s">
        <v>29</v>
      </c>
      <c r="F82" t="s">
        <v>29</v>
      </c>
      <c r="H82" t="s">
        <v>29</v>
      </c>
      <c r="I82" t="s">
        <v>29</v>
      </c>
    </row>
    <row r="83" spans="2:9" x14ac:dyDescent="0.3">
      <c r="E83" t="s">
        <v>29</v>
      </c>
      <c r="F83" t="s">
        <v>29</v>
      </c>
      <c r="H83" t="s">
        <v>29</v>
      </c>
      <c r="I83" t="s">
        <v>29</v>
      </c>
    </row>
    <row r="84" spans="2:9" x14ac:dyDescent="0.3">
      <c r="E84" t="s">
        <v>29</v>
      </c>
      <c r="F84" t="s">
        <v>29</v>
      </c>
      <c r="H84" t="s">
        <v>29</v>
      </c>
      <c r="I84" t="s">
        <v>29</v>
      </c>
    </row>
    <row r="85" spans="2:9" x14ac:dyDescent="0.3">
      <c r="E85" t="s">
        <v>29</v>
      </c>
      <c r="F85" t="s">
        <v>29</v>
      </c>
      <c r="H85" t="s">
        <v>29</v>
      </c>
      <c r="I85" t="s">
        <v>29</v>
      </c>
    </row>
    <row r="86" spans="2:9" x14ac:dyDescent="0.3">
      <c r="E86" t="s">
        <v>29</v>
      </c>
      <c r="F86" t="s">
        <v>29</v>
      </c>
      <c r="H86" t="s">
        <v>29</v>
      </c>
      <c r="I86" t="s">
        <v>29</v>
      </c>
    </row>
    <row r="87" spans="2:9" x14ac:dyDescent="0.3">
      <c r="E87" t="s">
        <v>29</v>
      </c>
      <c r="F87" t="s">
        <v>29</v>
      </c>
      <c r="H87" t="s">
        <v>29</v>
      </c>
      <c r="I87" t="s">
        <v>29</v>
      </c>
    </row>
    <row r="88" spans="2:9" x14ac:dyDescent="0.3">
      <c r="E88" t="s">
        <v>29</v>
      </c>
      <c r="F88" t="s">
        <v>29</v>
      </c>
      <c r="H88" t="s">
        <v>29</v>
      </c>
      <c r="I88" t="s">
        <v>29</v>
      </c>
    </row>
    <row r="89" spans="2:9" x14ac:dyDescent="0.3">
      <c r="E89" t="s">
        <v>29</v>
      </c>
      <c r="F89" t="s">
        <v>29</v>
      </c>
      <c r="H89" t="s">
        <v>29</v>
      </c>
      <c r="I89" t="s">
        <v>29</v>
      </c>
    </row>
    <row r="90" spans="2:9" x14ac:dyDescent="0.3">
      <c r="E90" t="s">
        <v>29</v>
      </c>
      <c r="F90" t="s">
        <v>29</v>
      </c>
      <c r="H90" t="s">
        <v>29</v>
      </c>
      <c r="I90" t="s">
        <v>29</v>
      </c>
    </row>
    <row r="92" spans="2:9" x14ac:dyDescent="0.3">
      <c r="G92" t="s">
        <v>14</v>
      </c>
      <c r="I92">
        <v>0</v>
      </c>
    </row>
    <row r="96" spans="2:9" x14ac:dyDescent="0.3">
      <c r="B96" t="s">
        <v>15</v>
      </c>
      <c r="G96" t="s">
        <v>16</v>
      </c>
    </row>
    <row r="97" spans="3:9" x14ac:dyDescent="0.3">
      <c r="C97">
        <v>8</v>
      </c>
      <c r="D97">
        <v>1003</v>
      </c>
      <c r="E97" t="s">
        <v>33</v>
      </c>
      <c r="F97">
        <v>2500</v>
      </c>
      <c r="G97">
        <v>2</v>
      </c>
      <c r="H97">
        <v>750</v>
      </c>
      <c r="I97">
        <v>5750</v>
      </c>
    </row>
    <row r="98" spans="3:9" x14ac:dyDescent="0.3">
      <c r="E98" t="s">
        <v>29</v>
      </c>
      <c r="F98" t="s">
        <v>29</v>
      </c>
      <c r="H98" t="s">
        <v>29</v>
      </c>
      <c r="I98" t="s">
        <v>29</v>
      </c>
    </row>
    <row r="99" spans="3:9" x14ac:dyDescent="0.3">
      <c r="E99" t="s">
        <v>29</v>
      </c>
      <c r="F99" t="s">
        <v>29</v>
      </c>
      <c r="H99" t="s">
        <v>29</v>
      </c>
      <c r="I99" t="s">
        <v>29</v>
      </c>
    </row>
    <row r="100" spans="3:9" x14ac:dyDescent="0.3">
      <c r="E100" t="s">
        <v>29</v>
      </c>
      <c r="F100" t="s">
        <v>29</v>
      </c>
      <c r="H100" t="s">
        <v>29</v>
      </c>
      <c r="I100" t="s">
        <v>29</v>
      </c>
    </row>
    <row r="101" spans="3:9" x14ac:dyDescent="0.3">
      <c r="E101" t="s">
        <v>29</v>
      </c>
      <c r="F101" t="s">
        <v>29</v>
      </c>
      <c r="H101" t="s">
        <v>29</v>
      </c>
      <c r="I101" t="s">
        <v>29</v>
      </c>
    </row>
    <row r="102" spans="3:9" x14ac:dyDescent="0.3">
      <c r="E102" t="s">
        <v>29</v>
      </c>
      <c r="F102" t="s">
        <v>29</v>
      </c>
      <c r="H102" t="s">
        <v>29</v>
      </c>
      <c r="I102" t="s">
        <v>29</v>
      </c>
    </row>
    <row r="103" spans="3:9" x14ac:dyDescent="0.3">
      <c r="E103" t="s">
        <v>29</v>
      </c>
      <c r="F103" t="s">
        <v>29</v>
      </c>
      <c r="H103" t="s">
        <v>29</v>
      </c>
      <c r="I103" t="s">
        <v>29</v>
      </c>
    </row>
    <row r="104" spans="3:9" x14ac:dyDescent="0.3">
      <c r="E104" t="s">
        <v>29</v>
      </c>
      <c r="F104" t="s">
        <v>29</v>
      </c>
      <c r="H104" t="s">
        <v>29</v>
      </c>
      <c r="I104" t="s">
        <v>29</v>
      </c>
    </row>
    <row r="105" spans="3:9" x14ac:dyDescent="0.3">
      <c r="E105" t="s">
        <v>29</v>
      </c>
      <c r="F105" t="s">
        <v>29</v>
      </c>
      <c r="H105" t="s">
        <v>29</v>
      </c>
      <c r="I105" t="s">
        <v>29</v>
      </c>
    </row>
    <row r="106" spans="3:9" x14ac:dyDescent="0.3">
      <c r="E106" t="s">
        <v>29</v>
      </c>
      <c r="F106" t="s">
        <v>29</v>
      </c>
      <c r="H106" t="s">
        <v>29</v>
      </c>
      <c r="I106" t="s">
        <v>29</v>
      </c>
    </row>
    <row r="107" spans="3:9" x14ac:dyDescent="0.3">
      <c r="E107" t="s">
        <v>29</v>
      </c>
      <c r="F107" t="s">
        <v>29</v>
      </c>
      <c r="H107" t="s">
        <v>29</v>
      </c>
      <c r="I107" t="s">
        <v>29</v>
      </c>
    </row>
    <row r="108" spans="3:9" x14ac:dyDescent="0.3">
      <c r="E108" t="s">
        <v>29</v>
      </c>
      <c r="F108" t="s">
        <v>29</v>
      </c>
      <c r="H108" t="s">
        <v>29</v>
      </c>
      <c r="I108" t="s">
        <v>29</v>
      </c>
    </row>
    <row r="109" spans="3:9" x14ac:dyDescent="0.3">
      <c r="E109" t="s">
        <v>29</v>
      </c>
      <c r="F109" t="s">
        <v>29</v>
      </c>
      <c r="H109" t="s">
        <v>29</v>
      </c>
      <c r="I109" t="s">
        <v>29</v>
      </c>
    </row>
    <row r="110" spans="3:9" x14ac:dyDescent="0.3">
      <c r="E110" t="s">
        <v>29</v>
      </c>
      <c r="F110" t="s">
        <v>29</v>
      </c>
      <c r="H110" t="s">
        <v>29</v>
      </c>
      <c r="I110" t="s">
        <v>29</v>
      </c>
    </row>
    <row r="111" spans="3:9" x14ac:dyDescent="0.3">
      <c r="E111" t="s">
        <v>29</v>
      </c>
      <c r="F111" t="s">
        <v>29</v>
      </c>
      <c r="H111" t="s">
        <v>29</v>
      </c>
      <c r="I111" t="s">
        <v>29</v>
      </c>
    </row>
    <row r="112" spans="3:9" x14ac:dyDescent="0.3">
      <c r="E112" t="s">
        <v>29</v>
      </c>
      <c r="F112" t="s">
        <v>29</v>
      </c>
      <c r="H112" t="s">
        <v>29</v>
      </c>
      <c r="I112" t="s">
        <v>29</v>
      </c>
    </row>
    <row r="114" spans="2:9" x14ac:dyDescent="0.3">
      <c r="G114" t="s">
        <v>14</v>
      </c>
      <c r="I114">
        <v>5750</v>
      </c>
    </row>
    <row r="118" spans="2:9" x14ac:dyDescent="0.3">
      <c r="B118" t="s">
        <v>15</v>
      </c>
      <c r="G118" t="s">
        <v>16</v>
      </c>
    </row>
    <row r="119" spans="2:9" x14ac:dyDescent="0.3">
      <c r="C119">
        <v>7</v>
      </c>
      <c r="D119">
        <v>1002</v>
      </c>
      <c r="E119" t="s">
        <v>32</v>
      </c>
      <c r="F119">
        <v>6500</v>
      </c>
      <c r="G119">
        <v>2</v>
      </c>
      <c r="H119">
        <v>1950</v>
      </c>
      <c r="I119">
        <v>14950</v>
      </c>
    </row>
    <row r="120" spans="2:9" x14ac:dyDescent="0.3">
      <c r="E120" t="s">
        <v>29</v>
      </c>
      <c r="F120" t="s">
        <v>29</v>
      </c>
      <c r="H120" t="s">
        <v>29</v>
      </c>
      <c r="I120" t="s">
        <v>29</v>
      </c>
    </row>
    <row r="121" spans="2:9" x14ac:dyDescent="0.3">
      <c r="E121" t="s">
        <v>29</v>
      </c>
      <c r="F121" t="s">
        <v>29</v>
      </c>
      <c r="H121" t="s">
        <v>29</v>
      </c>
      <c r="I121" t="s">
        <v>29</v>
      </c>
    </row>
    <row r="122" spans="2:9" x14ac:dyDescent="0.3">
      <c r="E122" t="s">
        <v>29</v>
      </c>
      <c r="F122" t="s">
        <v>29</v>
      </c>
      <c r="H122" t="s">
        <v>29</v>
      </c>
      <c r="I122" t="s">
        <v>29</v>
      </c>
    </row>
    <row r="123" spans="2:9" x14ac:dyDescent="0.3">
      <c r="E123" t="s">
        <v>29</v>
      </c>
      <c r="F123" t="s">
        <v>29</v>
      </c>
      <c r="H123" t="s">
        <v>29</v>
      </c>
      <c r="I123" t="s">
        <v>29</v>
      </c>
    </row>
    <row r="124" spans="2:9" x14ac:dyDescent="0.3">
      <c r="E124" t="s">
        <v>29</v>
      </c>
      <c r="F124" t="s">
        <v>29</v>
      </c>
      <c r="H124" t="s">
        <v>29</v>
      </c>
      <c r="I124" t="s">
        <v>29</v>
      </c>
    </row>
    <row r="125" spans="2:9" x14ac:dyDescent="0.3">
      <c r="E125" t="s">
        <v>29</v>
      </c>
      <c r="F125" t="s">
        <v>29</v>
      </c>
      <c r="H125" t="s">
        <v>29</v>
      </c>
      <c r="I125" t="s">
        <v>29</v>
      </c>
    </row>
    <row r="126" spans="2:9" x14ac:dyDescent="0.3">
      <c r="E126" t="s">
        <v>29</v>
      </c>
      <c r="F126" t="s">
        <v>29</v>
      </c>
      <c r="H126" t="s">
        <v>29</v>
      </c>
      <c r="I126" t="s">
        <v>29</v>
      </c>
    </row>
    <row r="127" spans="2:9" x14ac:dyDescent="0.3">
      <c r="E127" t="s">
        <v>29</v>
      </c>
      <c r="F127" t="s">
        <v>29</v>
      </c>
      <c r="H127" t="s">
        <v>29</v>
      </c>
      <c r="I127" t="s">
        <v>29</v>
      </c>
    </row>
    <row r="128" spans="2:9" x14ac:dyDescent="0.3">
      <c r="E128" t="s">
        <v>29</v>
      </c>
      <c r="F128" t="s">
        <v>29</v>
      </c>
      <c r="H128" t="s">
        <v>29</v>
      </c>
      <c r="I128" t="s">
        <v>29</v>
      </c>
    </row>
    <row r="129" spans="2:9" x14ac:dyDescent="0.3">
      <c r="E129" t="s">
        <v>29</v>
      </c>
      <c r="F129" t="s">
        <v>29</v>
      </c>
      <c r="H129" t="s">
        <v>29</v>
      </c>
      <c r="I129" t="s">
        <v>29</v>
      </c>
    </row>
    <row r="130" spans="2:9" x14ac:dyDescent="0.3">
      <c r="E130" t="s">
        <v>29</v>
      </c>
      <c r="F130" t="s">
        <v>29</v>
      </c>
      <c r="H130" t="s">
        <v>29</v>
      </c>
      <c r="I130" t="s">
        <v>29</v>
      </c>
    </row>
    <row r="131" spans="2:9" x14ac:dyDescent="0.3">
      <c r="E131" t="s">
        <v>29</v>
      </c>
      <c r="F131" t="s">
        <v>29</v>
      </c>
      <c r="H131" t="s">
        <v>29</v>
      </c>
      <c r="I131" t="s">
        <v>29</v>
      </c>
    </row>
    <row r="132" spans="2:9" x14ac:dyDescent="0.3">
      <c r="E132" t="s">
        <v>29</v>
      </c>
      <c r="F132" t="s">
        <v>29</v>
      </c>
      <c r="H132" t="s">
        <v>29</v>
      </c>
      <c r="I132" t="s">
        <v>29</v>
      </c>
    </row>
    <row r="133" spans="2:9" x14ac:dyDescent="0.3">
      <c r="E133" t="s">
        <v>29</v>
      </c>
      <c r="F133" t="s">
        <v>29</v>
      </c>
      <c r="H133" t="s">
        <v>29</v>
      </c>
      <c r="I133" t="s">
        <v>29</v>
      </c>
    </row>
    <row r="134" spans="2:9" x14ac:dyDescent="0.3">
      <c r="E134" t="s">
        <v>29</v>
      </c>
      <c r="F134" t="s">
        <v>29</v>
      </c>
      <c r="H134" t="s">
        <v>29</v>
      </c>
      <c r="I134" t="s">
        <v>29</v>
      </c>
    </row>
    <row r="136" spans="2:9" x14ac:dyDescent="0.3">
      <c r="G136" t="s">
        <v>14</v>
      </c>
      <c r="I136">
        <v>14950</v>
      </c>
    </row>
    <row r="140" spans="2:9" x14ac:dyDescent="0.3">
      <c r="B140" t="s">
        <v>15</v>
      </c>
      <c r="G140" t="s">
        <v>16</v>
      </c>
    </row>
    <row r="141" spans="2:9" x14ac:dyDescent="0.3">
      <c r="C141">
        <v>6</v>
      </c>
      <c r="D141">
        <v>1004</v>
      </c>
      <c r="E141" t="s">
        <v>34</v>
      </c>
      <c r="F141">
        <v>1800</v>
      </c>
      <c r="G141">
        <v>1</v>
      </c>
      <c r="H141">
        <v>270</v>
      </c>
      <c r="I141">
        <v>2070</v>
      </c>
    </row>
    <row r="142" spans="2:9" x14ac:dyDescent="0.3">
      <c r="E142" t="s">
        <v>29</v>
      </c>
      <c r="F142" t="s">
        <v>29</v>
      </c>
      <c r="H142" t="s">
        <v>29</v>
      </c>
      <c r="I142" t="s">
        <v>29</v>
      </c>
    </row>
    <row r="143" spans="2:9" x14ac:dyDescent="0.3">
      <c r="E143" t="s">
        <v>29</v>
      </c>
      <c r="F143" t="s">
        <v>29</v>
      </c>
      <c r="H143" t="s">
        <v>29</v>
      </c>
      <c r="I143" t="s">
        <v>29</v>
      </c>
    </row>
    <row r="144" spans="2:9" x14ac:dyDescent="0.3">
      <c r="E144" t="s">
        <v>29</v>
      </c>
      <c r="F144" t="s">
        <v>29</v>
      </c>
      <c r="H144" t="s">
        <v>29</v>
      </c>
      <c r="I144" t="s">
        <v>29</v>
      </c>
    </row>
    <row r="145" spans="5:9" x14ac:dyDescent="0.3">
      <c r="E145" t="s">
        <v>29</v>
      </c>
      <c r="F145" t="s">
        <v>29</v>
      </c>
      <c r="H145" t="s">
        <v>29</v>
      </c>
      <c r="I145" t="s">
        <v>29</v>
      </c>
    </row>
    <row r="146" spans="5:9" x14ac:dyDescent="0.3">
      <c r="E146" t="s">
        <v>29</v>
      </c>
      <c r="F146" t="s">
        <v>29</v>
      </c>
      <c r="H146" t="s">
        <v>29</v>
      </c>
      <c r="I146" t="s">
        <v>29</v>
      </c>
    </row>
    <row r="147" spans="5:9" x14ac:dyDescent="0.3">
      <c r="E147" t="s">
        <v>29</v>
      </c>
      <c r="F147" t="s">
        <v>29</v>
      </c>
      <c r="H147" t="s">
        <v>29</v>
      </c>
      <c r="I147" t="s">
        <v>29</v>
      </c>
    </row>
    <row r="148" spans="5:9" x14ac:dyDescent="0.3">
      <c r="E148" t="s">
        <v>29</v>
      </c>
      <c r="F148" t="s">
        <v>29</v>
      </c>
      <c r="H148" t="s">
        <v>29</v>
      </c>
      <c r="I148" t="s">
        <v>29</v>
      </c>
    </row>
    <row r="149" spans="5:9" x14ac:dyDescent="0.3">
      <c r="E149" t="s">
        <v>29</v>
      </c>
      <c r="F149" t="s">
        <v>29</v>
      </c>
      <c r="H149" t="s">
        <v>29</v>
      </c>
      <c r="I149" t="s">
        <v>29</v>
      </c>
    </row>
    <row r="150" spans="5:9" x14ac:dyDescent="0.3">
      <c r="E150" t="s">
        <v>29</v>
      </c>
      <c r="F150" t="s">
        <v>29</v>
      </c>
      <c r="H150" t="s">
        <v>29</v>
      </c>
      <c r="I150" t="s">
        <v>29</v>
      </c>
    </row>
    <row r="151" spans="5:9" x14ac:dyDescent="0.3">
      <c r="E151" t="s">
        <v>29</v>
      </c>
      <c r="F151" t="s">
        <v>29</v>
      </c>
      <c r="H151" t="s">
        <v>29</v>
      </c>
      <c r="I151" t="s">
        <v>29</v>
      </c>
    </row>
    <row r="152" spans="5:9" x14ac:dyDescent="0.3">
      <c r="E152" t="s">
        <v>29</v>
      </c>
      <c r="F152" t="s">
        <v>29</v>
      </c>
      <c r="H152" t="s">
        <v>29</v>
      </c>
      <c r="I152" t="s">
        <v>29</v>
      </c>
    </row>
    <row r="153" spans="5:9" x14ac:dyDescent="0.3">
      <c r="E153" t="s">
        <v>29</v>
      </c>
      <c r="F153" t="s">
        <v>29</v>
      </c>
      <c r="H153" t="s">
        <v>29</v>
      </c>
      <c r="I153" t="s">
        <v>29</v>
      </c>
    </row>
    <row r="154" spans="5:9" x14ac:dyDescent="0.3">
      <c r="E154" t="s">
        <v>29</v>
      </c>
      <c r="F154" t="s">
        <v>29</v>
      </c>
      <c r="H154" t="s">
        <v>29</v>
      </c>
      <c r="I154" t="s">
        <v>29</v>
      </c>
    </row>
    <row r="155" spans="5:9" x14ac:dyDescent="0.3">
      <c r="E155" t="s">
        <v>29</v>
      </c>
      <c r="F155" t="s">
        <v>29</v>
      </c>
      <c r="H155" t="s">
        <v>29</v>
      </c>
      <c r="I155" t="s">
        <v>29</v>
      </c>
    </row>
    <row r="156" spans="5:9" x14ac:dyDescent="0.3">
      <c r="E156" t="s">
        <v>29</v>
      </c>
      <c r="F156" t="s">
        <v>29</v>
      </c>
      <c r="H156" t="s">
        <v>29</v>
      </c>
      <c r="I156" t="s">
        <v>29</v>
      </c>
    </row>
    <row r="158" spans="5:9" x14ac:dyDescent="0.3">
      <c r="G158" t="s">
        <v>14</v>
      </c>
      <c r="I158">
        <v>2070</v>
      </c>
    </row>
    <row r="162" spans="2:9" x14ac:dyDescent="0.3">
      <c r="B162" t="s">
        <v>15</v>
      </c>
      <c r="G162" t="s">
        <v>16</v>
      </c>
    </row>
    <row r="163" spans="2:9" x14ac:dyDescent="0.3">
      <c r="C163">
        <v>5</v>
      </c>
      <c r="D163">
        <v>1001</v>
      </c>
      <c r="E163" t="s">
        <v>31</v>
      </c>
      <c r="F163">
        <v>6000</v>
      </c>
      <c r="G163">
        <v>30</v>
      </c>
      <c r="H163">
        <v>27000</v>
      </c>
      <c r="I163">
        <v>207000</v>
      </c>
    </row>
    <row r="164" spans="2:9" x14ac:dyDescent="0.3">
      <c r="E164" t="s">
        <v>29</v>
      </c>
      <c r="F164" t="s">
        <v>29</v>
      </c>
      <c r="H164" t="s">
        <v>29</v>
      </c>
      <c r="I164" t="s">
        <v>29</v>
      </c>
    </row>
    <row r="165" spans="2:9" x14ac:dyDescent="0.3">
      <c r="E165" t="s">
        <v>29</v>
      </c>
      <c r="F165" t="s">
        <v>29</v>
      </c>
      <c r="H165" t="s">
        <v>29</v>
      </c>
      <c r="I165" t="s">
        <v>29</v>
      </c>
    </row>
    <row r="166" spans="2:9" x14ac:dyDescent="0.3">
      <c r="E166" t="s">
        <v>29</v>
      </c>
      <c r="F166" t="s">
        <v>29</v>
      </c>
      <c r="H166" t="s">
        <v>29</v>
      </c>
      <c r="I166" t="s">
        <v>29</v>
      </c>
    </row>
    <row r="167" spans="2:9" x14ac:dyDescent="0.3">
      <c r="E167" t="s">
        <v>29</v>
      </c>
      <c r="F167" t="s">
        <v>29</v>
      </c>
      <c r="H167" t="s">
        <v>29</v>
      </c>
      <c r="I167" t="s">
        <v>29</v>
      </c>
    </row>
    <row r="168" spans="2:9" x14ac:dyDescent="0.3">
      <c r="E168" t="s">
        <v>29</v>
      </c>
      <c r="F168" t="s">
        <v>29</v>
      </c>
      <c r="H168" t="s">
        <v>29</v>
      </c>
      <c r="I168" t="s">
        <v>29</v>
      </c>
    </row>
    <row r="169" spans="2:9" x14ac:dyDescent="0.3">
      <c r="E169" t="s">
        <v>29</v>
      </c>
      <c r="F169" t="s">
        <v>29</v>
      </c>
      <c r="H169" t="s">
        <v>29</v>
      </c>
      <c r="I169" t="s">
        <v>29</v>
      </c>
    </row>
    <row r="170" spans="2:9" x14ac:dyDescent="0.3">
      <c r="E170" t="s">
        <v>29</v>
      </c>
      <c r="F170" t="s">
        <v>29</v>
      </c>
      <c r="H170" t="s">
        <v>29</v>
      </c>
      <c r="I170" t="s">
        <v>29</v>
      </c>
    </row>
    <row r="171" spans="2:9" x14ac:dyDescent="0.3">
      <c r="E171" t="s">
        <v>29</v>
      </c>
      <c r="F171" t="s">
        <v>29</v>
      </c>
      <c r="H171" t="s">
        <v>29</v>
      </c>
      <c r="I171" t="s">
        <v>29</v>
      </c>
    </row>
    <row r="172" spans="2:9" x14ac:dyDescent="0.3">
      <c r="E172" t="s">
        <v>29</v>
      </c>
      <c r="F172" t="s">
        <v>29</v>
      </c>
      <c r="H172" t="s">
        <v>29</v>
      </c>
      <c r="I172" t="s">
        <v>29</v>
      </c>
    </row>
    <row r="173" spans="2:9" x14ac:dyDescent="0.3">
      <c r="E173" t="s">
        <v>29</v>
      </c>
      <c r="F173" t="s">
        <v>29</v>
      </c>
      <c r="H173" t="s">
        <v>29</v>
      </c>
      <c r="I173" t="s">
        <v>29</v>
      </c>
    </row>
    <row r="174" spans="2:9" x14ac:dyDescent="0.3">
      <c r="E174" t="s">
        <v>29</v>
      </c>
      <c r="F174" t="s">
        <v>29</v>
      </c>
      <c r="H174" t="s">
        <v>29</v>
      </c>
      <c r="I174" t="s">
        <v>29</v>
      </c>
    </row>
    <row r="175" spans="2:9" x14ac:dyDescent="0.3">
      <c r="E175" t="s">
        <v>29</v>
      </c>
      <c r="F175" t="s">
        <v>29</v>
      </c>
      <c r="H175" t="s">
        <v>29</v>
      </c>
      <c r="I175" t="s">
        <v>29</v>
      </c>
    </row>
    <row r="176" spans="2:9" x14ac:dyDescent="0.3">
      <c r="E176" t="s">
        <v>29</v>
      </c>
      <c r="F176" t="s">
        <v>29</v>
      </c>
      <c r="H176" t="s">
        <v>29</v>
      </c>
      <c r="I176" t="s">
        <v>29</v>
      </c>
    </row>
    <row r="177" spans="2:9" x14ac:dyDescent="0.3">
      <c r="E177" t="s">
        <v>29</v>
      </c>
      <c r="F177" t="s">
        <v>29</v>
      </c>
      <c r="H177" t="s">
        <v>29</v>
      </c>
      <c r="I177" t="s">
        <v>29</v>
      </c>
    </row>
    <row r="178" spans="2:9" x14ac:dyDescent="0.3">
      <c r="E178" t="s">
        <v>29</v>
      </c>
      <c r="F178" t="s">
        <v>29</v>
      </c>
      <c r="H178" t="s">
        <v>29</v>
      </c>
      <c r="I178" t="s">
        <v>29</v>
      </c>
    </row>
    <row r="180" spans="2:9" x14ac:dyDescent="0.3">
      <c r="G180" t="s">
        <v>14</v>
      </c>
      <c r="I180">
        <v>207000</v>
      </c>
    </row>
    <row r="184" spans="2:9" x14ac:dyDescent="0.3">
      <c r="B184" t="s">
        <v>15</v>
      </c>
      <c r="G184" t="s">
        <v>16</v>
      </c>
    </row>
    <row r="185" spans="2:9" x14ac:dyDescent="0.3">
      <c r="C185">
        <v>4</v>
      </c>
      <c r="D185">
        <v>1002</v>
      </c>
      <c r="E185" t="s">
        <v>32</v>
      </c>
      <c r="F185">
        <v>6500</v>
      </c>
      <c r="G185">
        <v>1</v>
      </c>
      <c r="H185">
        <v>975</v>
      </c>
      <c r="I185">
        <v>7475</v>
      </c>
    </row>
    <row r="186" spans="2:9" x14ac:dyDescent="0.3">
      <c r="D186">
        <v>1003</v>
      </c>
      <c r="E186" t="s">
        <v>33</v>
      </c>
      <c r="F186">
        <v>2500</v>
      </c>
      <c r="G186">
        <v>2</v>
      </c>
      <c r="H186">
        <v>750</v>
      </c>
      <c r="I186">
        <v>5750</v>
      </c>
    </row>
    <row r="187" spans="2:9" x14ac:dyDescent="0.3">
      <c r="E187" t="s">
        <v>29</v>
      </c>
      <c r="F187" t="s">
        <v>29</v>
      </c>
      <c r="H187" t="s">
        <v>29</v>
      </c>
      <c r="I187" t="s">
        <v>29</v>
      </c>
    </row>
    <row r="188" spans="2:9" x14ac:dyDescent="0.3">
      <c r="E188" t="s">
        <v>29</v>
      </c>
      <c r="F188" t="s">
        <v>29</v>
      </c>
      <c r="H188" t="s">
        <v>29</v>
      </c>
      <c r="I188" t="s">
        <v>29</v>
      </c>
    </row>
    <row r="189" spans="2:9" x14ac:dyDescent="0.3">
      <c r="E189" t="s">
        <v>29</v>
      </c>
      <c r="F189" t="s">
        <v>29</v>
      </c>
      <c r="H189" t="s">
        <v>29</v>
      </c>
      <c r="I189" t="s">
        <v>29</v>
      </c>
    </row>
    <row r="190" spans="2:9" x14ac:dyDescent="0.3">
      <c r="E190" t="s">
        <v>29</v>
      </c>
      <c r="F190" t="s">
        <v>29</v>
      </c>
      <c r="H190" t="s">
        <v>29</v>
      </c>
      <c r="I190" t="s">
        <v>29</v>
      </c>
    </row>
    <row r="191" spans="2:9" x14ac:dyDescent="0.3">
      <c r="E191" t="s">
        <v>29</v>
      </c>
      <c r="F191" t="s">
        <v>29</v>
      </c>
      <c r="H191" t="s">
        <v>29</v>
      </c>
      <c r="I191" t="s">
        <v>29</v>
      </c>
    </row>
    <row r="192" spans="2:9" x14ac:dyDescent="0.3">
      <c r="E192" t="s">
        <v>29</v>
      </c>
      <c r="F192" t="s">
        <v>29</v>
      </c>
      <c r="H192" t="s">
        <v>29</v>
      </c>
      <c r="I192" t="s">
        <v>29</v>
      </c>
    </row>
    <row r="193" spans="2:9" x14ac:dyDescent="0.3">
      <c r="E193" t="s">
        <v>29</v>
      </c>
      <c r="F193" t="s">
        <v>29</v>
      </c>
      <c r="H193" t="s">
        <v>29</v>
      </c>
      <c r="I193" t="s">
        <v>29</v>
      </c>
    </row>
    <row r="194" spans="2:9" x14ac:dyDescent="0.3">
      <c r="E194" t="s">
        <v>29</v>
      </c>
      <c r="F194" t="s">
        <v>29</v>
      </c>
      <c r="H194" t="s">
        <v>29</v>
      </c>
      <c r="I194" t="s">
        <v>29</v>
      </c>
    </row>
    <row r="195" spans="2:9" x14ac:dyDescent="0.3">
      <c r="E195" t="s">
        <v>29</v>
      </c>
      <c r="F195" t="s">
        <v>29</v>
      </c>
      <c r="H195" t="s">
        <v>29</v>
      </c>
      <c r="I195" t="s">
        <v>29</v>
      </c>
    </row>
    <row r="196" spans="2:9" x14ac:dyDescent="0.3">
      <c r="E196" t="s">
        <v>29</v>
      </c>
      <c r="F196" t="s">
        <v>29</v>
      </c>
      <c r="H196" t="s">
        <v>29</v>
      </c>
      <c r="I196" t="s">
        <v>29</v>
      </c>
    </row>
    <row r="197" spans="2:9" x14ac:dyDescent="0.3">
      <c r="E197" t="s">
        <v>29</v>
      </c>
      <c r="F197" t="s">
        <v>29</v>
      </c>
      <c r="H197" t="s">
        <v>29</v>
      </c>
      <c r="I197" t="s">
        <v>29</v>
      </c>
    </row>
    <row r="198" spans="2:9" x14ac:dyDescent="0.3">
      <c r="E198" t="s">
        <v>29</v>
      </c>
      <c r="F198" t="s">
        <v>29</v>
      </c>
      <c r="H198" t="s">
        <v>29</v>
      </c>
      <c r="I198" t="s">
        <v>29</v>
      </c>
    </row>
    <row r="199" spans="2:9" x14ac:dyDescent="0.3">
      <c r="E199" t="s">
        <v>29</v>
      </c>
      <c r="F199" t="s">
        <v>29</v>
      </c>
      <c r="H199" t="s">
        <v>29</v>
      </c>
      <c r="I199" t="s">
        <v>29</v>
      </c>
    </row>
    <row r="200" spans="2:9" x14ac:dyDescent="0.3">
      <c r="E200" t="s">
        <v>29</v>
      </c>
      <c r="F200" t="s">
        <v>29</v>
      </c>
      <c r="H200" t="s">
        <v>29</v>
      </c>
      <c r="I200" t="s">
        <v>29</v>
      </c>
    </row>
    <row r="202" spans="2:9" x14ac:dyDescent="0.3">
      <c r="G202" t="s">
        <v>14</v>
      </c>
      <c r="I202">
        <v>13225</v>
      </c>
    </row>
    <row r="206" spans="2:9" x14ac:dyDescent="0.3">
      <c r="B206" t="s">
        <v>15</v>
      </c>
      <c r="G206" t="s">
        <v>16</v>
      </c>
    </row>
    <row r="207" spans="2:9" x14ac:dyDescent="0.3">
      <c r="D207">
        <v>1003</v>
      </c>
      <c r="E207" t="s">
        <v>33</v>
      </c>
      <c r="F207">
        <v>2500</v>
      </c>
      <c r="G207">
        <v>7</v>
      </c>
      <c r="H207">
        <v>2625</v>
      </c>
      <c r="I207">
        <v>20125</v>
      </c>
    </row>
    <row r="208" spans="2:9" x14ac:dyDescent="0.3">
      <c r="C208" t="s">
        <v>29</v>
      </c>
      <c r="E208" t="s">
        <v>29</v>
      </c>
      <c r="F208" t="s">
        <v>29</v>
      </c>
      <c r="H208" t="s">
        <v>29</v>
      </c>
      <c r="I208" t="s">
        <v>29</v>
      </c>
    </row>
    <row r="209" spans="3:9" x14ac:dyDescent="0.3">
      <c r="C209" t="s">
        <v>29</v>
      </c>
      <c r="E209" t="s">
        <v>29</v>
      </c>
      <c r="F209" t="s">
        <v>29</v>
      </c>
      <c r="H209" t="s">
        <v>29</v>
      </c>
      <c r="I209" t="s">
        <v>29</v>
      </c>
    </row>
    <row r="210" spans="3:9" x14ac:dyDescent="0.3">
      <c r="C210" t="s">
        <v>29</v>
      </c>
      <c r="E210" t="s">
        <v>29</v>
      </c>
      <c r="F210" t="s">
        <v>29</v>
      </c>
      <c r="H210" t="s">
        <v>29</v>
      </c>
      <c r="I210" t="s">
        <v>29</v>
      </c>
    </row>
    <row r="211" spans="3:9" x14ac:dyDescent="0.3">
      <c r="C211" t="s">
        <v>29</v>
      </c>
      <c r="E211" t="s">
        <v>29</v>
      </c>
      <c r="F211" t="s">
        <v>29</v>
      </c>
      <c r="H211" t="s">
        <v>29</v>
      </c>
      <c r="I211" t="s">
        <v>29</v>
      </c>
    </row>
    <row r="212" spans="3:9" x14ac:dyDescent="0.3">
      <c r="C212" t="s">
        <v>29</v>
      </c>
      <c r="E212" t="s">
        <v>29</v>
      </c>
      <c r="F212" t="s">
        <v>29</v>
      </c>
      <c r="H212" t="s">
        <v>29</v>
      </c>
      <c r="I212" t="s">
        <v>29</v>
      </c>
    </row>
    <row r="213" spans="3:9" x14ac:dyDescent="0.3">
      <c r="C213" t="s">
        <v>29</v>
      </c>
      <c r="E213" t="s">
        <v>29</v>
      </c>
      <c r="F213" t="s">
        <v>29</v>
      </c>
      <c r="H213" t="s">
        <v>29</v>
      </c>
      <c r="I213" t="s">
        <v>29</v>
      </c>
    </row>
    <row r="214" spans="3:9" x14ac:dyDescent="0.3">
      <c r="C214" t="s">
        <v>29</v>
      </c>
      <c r="E214" t="s">
        <v>29</v>
      </c>
      <c r="F214" t="s">
        <v>29</v>
      </c>
      <c r="H214" t="s">
        <v>29</v>
      </c>
      <c r="I214" t="s">
        <v>29</v>
      </c>
    </row>
    <row r="215" spans="3:9" x14ac:dyDescent="0.3">
      <c r="C215" t="s">
        <v>29</v>
      </c>
      <c r="E215" t="s">
        <v>29</v>
      </c>
      <c r="F215" t="s">
        <v>29</v>
      </c>
      <c r="H215" t="s">
        <v>29</v>
      </c>
      <c r="I215" t="s">
        <v>29</v>
      </c>
    </row>
    <row r="216" spans="3:9" x14ac:dyDescent="0.3">
      <c r="C216" t="s">
        <v>29</v>
      </c>
      <c r="E216" t="s">
        <v>29</v>
      </c>
      <c r="F216" t="s">
        <v>29</v>
      </c>
      <c r="H216" t="s">
        <v>29</v>
      </c>
      <c r="I216" t="s">
        <v>29</v>
      </c>
    </row>
    <row r="217" spans="3:9" x14ac:dyDescent="0.3">
      <c r="C217" t="s">
        <v>29</v>
      </c>
      <c r="E217" t="s">
        <v>29</v>
      </c>
      <c r="F217" t="s">
        <v>29</v>
      </c>
      <c r="H217" t="s">
        <v>29</v>
      </c>
      <c r="I217" t="s">
        <v>29</v>
      </c>
    </row>
    <row r="218" spans="3:9" x14ac:dyDescent="0.3">
      <c r="C218" t="s">
        <v>29</v>
      </c>
      <c r="E218" t="s">
        <v>29</v>
      </c>
      <c r="F218" t="s">
        <v>29</v>
      </c>
      <c r="H218" t="s">
        <v>29</v>
      </c>
      <c r="I218" t="s">
        <v>29</v>
      </c>
    </row>
    <row r="219" spans="3:9" x14ac:dyDescent="0.3">
      <c r="C219" t="s">
        <v>29</v>
      </c>
      <c r="E219" t="s">
        <v>29</v>
      </c>
      <c r="F219" t="s">
        <v>29</v>
      </c>
      <c r="H219" t="s">
        <v>29</v>
      </c>
      <c r="I219" t="s">
        <v>29</v>
      </c>
    </row>
    <row r="220" spans="3:9" x14ac:dyDescent="0.3">
      <c r="C220" t="s">
        <v>29</v>
      </c>
      <c r="E220" t="s">
        <v>29</v>
      </c>
      <c r="F220" t="s">
        <v>29</v>
      </c>
      <c r="H220" t="s">
        <v>29</v>
      </c>
      <c r="I220" t="s">
        <v>29</v>
      </c>
    </row>
    <row r="221" spans="3:9" x14ac:dyDescent="0.3">
      <c r="C221" t="s">
        <v>29</v>
      </c>
      <c r="E221" t="s">
        <v>29</v>
      </c>
      <c r="F221" t="s">
        <v>29</v>
      </c>
      <c r="H221" t="s">
        <v>29</v>
      </c>
      <c r="I221" t="s">
        <v>29</v>
      </c>
    </row>
    <row r="222" spans="3:9" x14ac:dyDescent="0.3">
      <c r="C222" t="s">
        <v>29</v>
      </c>
      <c r="E222" t="s">
        <v>29</v>
      </c>
      <c r="F222" t="s">
        <v>29</v>
      </c>
      <c r="H222" t="s">
        <v>29</v>
      </c>
      <c r="I222" t="s">
        <v>29</v>
      </c>
    </row>
    <row r="224" spans="3:9" x14ac:dyDescent="0.3">
      <c r="G224" t="s">
        <v>14</v>
      </c>
      <c r="I224">
        <v>20125</v>
      </c>
    </row>
    <row r="228" spans="2:9" x14ac:dyDescent="0.3">
      <c r="B228" t="s">
        <v>15</v>
      </c>
      <c r="G228" t="s">
        <v>16</v>
      </c>
    </row>
    <row r="229" spans="2:9" x14ac:dyDescent="0.3">
      <c r="D229">
        <v>1001</v>
      </c>
      <c r="E229" t="s">
        <v>31</v>
      </c>
      <c r="F229">
        <v>6000</v>
      </c>
      <c r="H229">
        <v>0</v>
      </c>
      <c r="I229">
        <v>0</v>
      </c>
    </row>
    <row r="230" spans="2:9" x14ac:dyDescent="0.3">
      <c r="C230" t="s">
        <v>29</v>
      </c>
      <c r="E230" t="s">
        <v>29</v>
      </c>
      <c r="F230" t="s">
        <v>29</v>
      </c>
      <c r="H230" t="s">
        <v>29</v>
      </c>
      <c r="I230" t="s">
        <v>29</v>
      </c>
    </row>
    <row r="231" spans="2:9" x14ac:dyDescent="0.3">
      <c r="C231" t="s">
        <v>29</v>
      </c>
      <c r="E231" t="s">
        <v>29</v>
      </c>
      <c r="F231" t="s">
        <v>29</v>
      </c>
      <c r="H231" t="s">
        <v>29</v>
      </c>
      <c r="I231" t="s">
        <v>29</v>
      </c>
    </row>
    <row r="232" spans="2:9" x14ac:dyDescent="0.3">
      <c r="C232" t="s">
        <v>29</v>
      </c>
      <c r="E232" t="s">
        <v>29</v>
      </c>
      <c r="F232" t="s">
        <v>29</v>
      </c>
      <c r="H232" t="s">
        <v>29</v>
      </c>
      <c r="I232" t="s">
        <v>29</v>
      </c>
    </row>
    <row r="233" spans="2:9" x14ac:dyDescent="0.3">
      <c r="C233" t="s">
        <v>29</v>
      </c>
      <c r="E233" t="s">
        <v>29</v>
      </c>
      <c r="F233" t="s">
        <v>29</v>
      </c>
      <c r="H233" t="s">
        <v>29</v>
      </c>
      <c r="I233" t="s">
        <v>29</v>
      </c>
    </row>
    <row r="234" spans="2:9" x14ac:dyDescent="0.3">
      <c r="C234" t="s">
        <v>29</v>
      </c>
      <c r="E234" t="s">
        <v>29</v>
      </c>
      <c r="F234" t="s">
        <v>29</v>
      </c>
      <c r="H234" t="s">
        <v>29</v>
      </c>
      <c r="I234" t="s">
        <v>29</v>
      </c>
    </row>
    <row r="235" spans="2:9" x14ac:dyDescent="0.3">
      <c r="C235" t="s">
        <v>29</v>
      </c>
      <c r="E235" t="s">
        <v>29</v>
      </c>
      <c r="F235" t="s">
        <v>29</v>
      </c>
      <c r="H235" t="s">
        <v>29</v>
      </c>
      <c r="I235" t="s">
        <v>29</v>
      </c>
    </row>
    <row r="236" spans="2:9" x14ac:dyDescent="0.3">
      <c r="C236" t="s">
        <v>29</v>
      </c>
      <c r="E236" t="s">
        <v>29</v>
      </c>
      <c r="F236" t="s">
        <v>29</v>
      </c>
      <c r="H236" t="s">
        <v>29</v>
      </c>
      <c r="I236" t="s">
        <v>29</v>
      </c>
    </row>
    <row r="237" spans="2:9" x14ac:dyDescent="0.3">
      <c r="C237" t="s">
        <v>29</v>
      </c>
      <c r="E237" t="s">
        <v>29</v>
      </c>
      <c r="F237" t="s">
        <v>29</v>
      </c>
      <c r="H237" t="s">
        <v>29</v>
      </c>
      <c r="I237" t="s">
        <v>29</v>
      </c>
    </row>
    <row r="238" spans="2:9" x14ac:dyDescent="0.3">
      <c r="C238" t="s">
        <v>29</v>
      </c>
      <c r="E238" t="s">
        <v>29</v>
      </c>
      <c r="F238" t="s">
        <v>29</v>
      </c>
      <c r="H238" t="s">
        <v>29</v>
      </c>
      <c r="I238" t="s">
        <v>29</v>
      </c>
    </row>
    <row r="239" spans="2:9" x14ac:dyDescent="0.3">
      <c r="C239" t="s">
        <v>29</v>
      </c>
      <c r="E239" t="s">
        <v>29</v>
      </c>
      <c r="F239" t="s">
        <v>29</v>
      </c>
      <c r="H239" t="s">
        <v>29</v>
      </c>
      <c r="I239" t="s">
        <v>29</v>
      </c>
    </row>
    <row r="240" spans="2:9" x14ac:dyDescent="0.3">
      <c r="C240" t="s">
        <v>29</v>
      </c>
      <c r="E240" t="s">
        <v>29</v>
      </c>
      <c r="F240" t="s">
        <v>29</v>
      </c>
      <c r="H240" t="s">
        <v>29</v>
      </c>
      <c r="I240" t="s">
        <v>29</v>
      </c>
    </row>
    <row r="241" spans="2:9" x14ac:dyDescent="0.3">
      <c r="C241" t="s">
        <v>29</v>
      </c>
      <c r="E241" t="s">
        <v>29</v>
      </c>
      <c r="F241" t="s">
        <v>29</v>
      </c>
      <c r="H241" t="s">
        <v>29</v>
      </c>
      <c r="I241" t="s">
        <v>29</v>
      </c>
    </row>
    <row r="242" spans="2:9" x14ac:dyDescent="0.3">
      <c r="C242" t="s">
        <v>29</v>
      </c>
      <c r="E242" t="s">
        <v>29</v>
      </c>
      <c r="F242" t="s">
        <v>29</v>
      </c>
      <c r="H242" t="s">
        <v>29</v>
      </c>
      <c r="I242" t="s">
        <v>29</v>
      </c>
    </row>
    <row r="243" spans="2:9" x14ac:dyDescent="0.3">
      <c r="C243" t="s">
        <v>29</v>
      </c>
      <c r="E243" t="s">
        <v>29</v>
      </c>
      <c r="F243" t="s">
        <v>29</v>
      </c>
      <c r="H243" t="s">
        <v>29</v>
      </c>
      <c r="I243" t="s">
        <v>29</v>
      </c>
    </row>
    <row r="244" spans="2:9" x14ac:dyDescent="0.3">
      <c r="C244" t="s">
        <v>29</v>
      </c>
      <c r="E244" t="s">
        <v>29</v>
      </c>
      <c r="F244" t="s">
        <v>29</v>
      </c>
      <c r="H244" t="s">
        <v>29</v>
      </c>
      <c r="I244" t="s">
        <v>29</v>
      </c>
    </row>
    <row r="246" spans="2:9" x14ac:dyDescent="0.3">
      <c r="G246" t="s">
        <v>14</v>
      </c>
      <c r="I246">
        <v>0</v>
      </c>
    </row>
    <row r="250" spans="2:9" x14ac:dyDescent="0.3">
      <c r="B250" t="s">
        <v>15</v>
      </c>
      <c r="G250" t="s">
        <v>16</v>
      </c>
    </row>
    <row r="251" spans="2:9" x14ac:dyDescent="0.3">
      <c r="B251">
        <v>1</v>
      </c>
      <c r="D251">
        <v>1001</v>
      </c>
      <c r="E251" t="s">
        <v>31</v>
      </c>
      <c r="F251">
        <v>6000</v>
      </c>
      <c r="G251">
        <v>4</v>
      </c>
      <c r="H251">
        <v>3600</v>
      </c>
      <c r="I251">
        <v>27600</v>
      </c>
    </row>
    <row r="252" spans="2:9" x14ac:dyDescent="0.3">
      <c r="B252">
        <v>2</v>
      </c>
      <c r="C252">
        <v>3</v>
      </c>
      <c r="D252">
        <v>1002</v>
      </c>
      <c r="E252" t="s">
        <v>32</v>
      </c>
      <c r="F252">
        <v>6500</v>
      </c>
      <c r="G252">
        <v>2</v>
      </c>
      <c r="H252">
        <v>1950</v>
      </c>
      <c r="I252">
        <v>14950</v>
      </c>
    </row>
    <row r="253" spans="2:9" x14ac:dyDescent="0.3">
      <c r="C253">
        <v>2</v>
      </c>
      <c r="E253" t="s">
        <v>24</v>
      </c>
      <c r="F253">
        <v>500</v>
      </c>
      <c r="G253">
        <v>30</v>
      </c>
      <c r="H253">
        <v>2250</v>
      </c>
      <c r="I253">
        <v>17250</v>
      </c>
    </row>
    <row r="254" spans="2:9" x14ac:dyDescent="0.3">
      <c r="C254" t="s">
        <v>29</v>
      </c>
      <c r="E254" t="s">
        <v>29</v>
      </c>
      <c r="F254" t="s">
        <v>29</v>
      </c>
      <c r="H254" t="s">
        <v>29</v>
      </c>
      <c r="I254" t="s">
        <v>29</v>
      </c>
    </row>
    <row r="255" spans="2:9" x14ac:dyDescent="0.3">
      <c r="C255" t="s">
        <v>29</v>
      </c>
      <c r="E255" t="s">
        <v>29</v>
      </c>
      <c r="F255" t="s">
        <v>29</v>
      </c>
      <c r="H255" t="s">
        <v>29</v>
      </c>
      <c r="I255" t="s">
        <v>29</v>
      </c>
    </row>
    <row r="256" spans="2:9" x14ac:dyDescent="0.3">
      <c r="C256" t="s">
        <v>29</v>
      </c>
      <c r="E256" t="s">
        <v>29</v>
      </c>
      <c r="F256" t="s">
        <v>29</v>
      </c>
      <c r="H256" t="s">
        <v>29</v>
      </c>
      <c r="I256" t="s">
        <v>29</v>
      </c>
    </row>
    <row r="257" spans="3:9" x14ac:dyDescent="0.3">
      <c r="C257" t="s">
        <v>29</v>
      </c>
      <c r="E257" t="s">
        <v>29</v>
      </c>
      <c r="F257" t="s">
        <v>29</v>
      </c>
      <c r="H257" t="s">
        <v>29</v>
      </c>
      <c r="I257" t="s">
        <v>29</v>
      </c>
    </row>
    <row r="258" spans="3:9" x14ac:dyDescent="0.3">
      <c r="C258" t="s">
        <v>29</v>
      </c>
      <c r="E258" t="s">
        <v>29</v>
      </c>
      <c r="F258" t="s">
        <v>29</v>
      </c>
      <c r="H258" t="s">
        <v>29</v>
      </c>
      <c r="I258" t="s">
        <v>29</v>
      </c>
    </row>
    <row r="259" spans="3:9" x14ac:dyDescent="0.3">
      <c r="C259" t="s">
        <v>29</v>
      </c>
      <c r="E259" t="s">
        <v>29</v>
      </c>
      <c r="F259" t="s">
        <v>29</v>
      </c>
      <c r="H259" t="s">
        <v>29</v>
      </c>
      <c r="I259" t="s">
        <v>29</v>
      </c>
    </row>
    <row r="260" spans="3:9" x14ac:dyDescent="0.3">
      <c r="C260" t="s">
        <v>29</v>
      </c>
      <c r="E260" t="s">
        <v>29</v>
      </c>
      <c r="F260" t="s">
        <v>29</v>
      </c>
      <c r="H260" t="s">
        <v>29</v>
      </c>
      <c r="I260" t="s">
        <v>29</v>
      </c>
    </row>
    <row r="261" spans="3:9" x14ac:dyDescent="0.3">
      <c r="C261" t="s">
        <v>29</v>
      </c>
      <c r="E261" t="s">
        <v>29</v>
      </c>
      <c r="F261" t="s">
        <v>29</v>
      </c>
      <c r="H261" t="s">
        <v>29</v>
      </c>
      <c r="I261" t="s">
        <v>29</v>
      </c>
    </row>
    <row r="262" spans="3:9" x14ac:dyDescent="0.3">
      <c r="C262" t="s">
        <v>29</v>
      </c>
      <c r="E262" t="s">
        <v>29</v>
      </c>
      <c r="F262" t="s">
        <v>29</v>
      </c>
      <c r="H262" t="s">
        <v>29</v>
      </c>
      <c r="I262" t="s">
        <v>29</v>
      </c>
    </row>
    <row r="263" spans="3:9" x14ac:dyDescent="0.3">
      <c r="C263" t="s">
        <v>29</v>
      </c>
      <c r="E263" t="s">
        <v>29</v>
      </c>
      <c r="F263" t="s">
        <v>29</v>
      </c>
      <c r="H263" t="s">
        <v>29</v>
      </c>
      <c r="I263" t="s">
        <v>29</v>
      </c>
    </row>
    <row r="264" spans="3:9" x14ac:dyDescent="0.3">
      <c r="C264" t="s">
        <v>29</v>
      </c>
      <c r="E264" t="s">
        <v>29</v>
      </c>
      <c r="F264" t="s">
        <v>29</v>
      </c>
      <c r="H264" t="s">
        <v>29</v>
      </c>
      <c r="I264" t="s">
        <v>29</v>
      </c>
    </row>
    <row r="265" spans="3:9" x14ac:dyDescent="0.3">
      <c r="C265" t="s">
        <v>29</v>
      </c>
      <c r="E265" t="s">
        <v>29</v>
      </c>
      <c r="F265" t="s">
        <v>29</v>
      </c>
      <c r="H265" t="s">
        <v>29</v>
      </c>
      <c r="I265" t="s">
        <v>29</v>
      </c>
    </row>
    <row r="266" spans="3:9" x14ac:dyDescent="0.3">
      <c r="C266" t="s">
        <v>29</v>
      </c>
      <c r="E266" t="s">
        <v>29</v>
      </c>
      <c r="F266" t="s">
        <v>29</v>
      </c>
      <c r="H266" t="s">
        <v>29</v>
      </c>
      <c r="I266" t="s">
        <v>29</v>
      </c>
    </row>
    <row r="267" spans="3:9" x14ac:dyDescent="0.3">
      <c r="C267" t="s">
        <v>29</v>
      </c>
      <c r="E267" t="s">
        <v>29</v>
      </c>
      <c r="F267" t="s">
        <v>29</v>
      </c>
      <c r="H267" t="s">
        <v>29</v>
      </c>
      <c r="I267" t="s">
        <v>29</v>
      </c>
    </row>
    <row r="268" spans="3:9" x14ac:dyDescent="0.3">
      <c r="C268" t="s">
        <v>29</v>
      </c>
      <c r="E268" t="s">
        <v>29</v>
      </c>
      <c r="F268" t="s">
        <v>29</v>
      </c>
      <c r="H268" t="s">
        <v>29</v>
      </c>
      <c r="I268" t="s">
        <v>29</v>
      </c>
    </row>
    <row r="270" spans="3:9" x14ac:dyDescent="0.3">
      <c r="G270" t="s">
        <v>14</v>
      </c>
      <c r="I270">
        <v>17250</v>
      </c>
    </row>
    <row r="274" spans="2:9" x14ac:dyDescent="0.3">
      <c r="B274" t="s">
        <v>15</v>
      </c>
      <c r="G274" t="s">
        <v>16</v>
      </c>
    </row>
    <row r="275" spans="2:9" x14ac:dyDescent="0.3">
      <c r="B275">
        <v>1</v>
      </c>
      <c r="C275">
        <v>1</v>
      </c>
      <c r="D275">
        <v>1001</v>
      </c>
      <c r="E275" t="s">
        <v>23</v>
      </c>
      <c r="F275">
        <v>1250</v>
      </c>
      <c r="G275">
        <v>15</v>
      </c>
      <c r="H275">
        <v>2812.5</v>
      </c>
      <c r="I275">
        <v>21562.5</v>
      </c>
    </row>
    <row r="276" spans="2:9" x14ac:dyDescent="0.3">
      <c r="B276">
        <v>2</v>
      </c>
      <c r="C276">
        <v>1</v>
      </c>
      <c r="D276">
        <v>1003</v>
      </c>
      <c r="E276" t="s">
        <v>25</v>
      </c>
      <c r="F276">
        <v>600</v>
      </c>
      <c r="G276">
        <v>20</v>
      </c>
      <c r="H276">
        <v>1800</v>
      </c>
      <c r="I276">
        <v>13800</v>
      </c>
    </row>
  </sheetData>
  <mergeCells count="1">
    <mergeCell ref="B2:I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FB010-933C-480F-8BA4-FC29314F60D4}">
  <sheetPr codeName="Sheet5"/>
  <dimension ref="B2:N84"/>
  <sheetViews>
    <sheetView workbookViewId="0">
      <selection activeCell="E3" sqref="E3"/>
    </sheetView>
  </sheetViews>
  <sheetFormatPr defaultRowHeight="14.4" x14ac:dyDescent="0.3"/>
  <cols>
    <col min="2" max="2" width="11.77734375" customWidth="1"/>
    <col min="3" max="3" width="14.44140625" customWidth="1"/>
    <col min="4" max="4" width="11.6640625" customWidth="1"/>
    <col min="5" max="5" width="10" customWidth="1"/>
    <col min="6" max="6" width="12.33203125" customWidth="1"/>
    <col min="8" max="8" width="9.6640625" bestFit="1" customWidth="1"/>
  </cols>
  <sheetData>
    <row r="2" spans="2:14" ht="15" x14ac:dyDescent="0.3">
      <c r="B2" s="26" t="s">
        <v>28</v>
      </c>
      <c r="C2" s="26"/>
      <c r="D2" s="26"/>
      <c r="E2" s="26"/>
      <c r="F2" s="26"/>
    </row>
    <row r="4" spans="2:14" x14ac:dyDescent="0.3">
      <c r="B4" s="1" t="s">
        <v>26</v>
      </c>
      <c r="C4" s="1" t="s">
        <v>3</v>
      </c>
      <c r="D4" s="1" t="s">
        <v>20</v>
      </c>
      <c r="E4" s="1" t="s">
        <v>27</v>
      </c>
      <c r="F4" s="1" t="s">
        <v>28</v>
      </c>
      <c r="H4" s="9"/>
    </row>
    <row r="5" spans="2:14" x14ac:dyDescent="0.3">
      <c r="B5">
        <v>1001</v>
      </c>
      <c r="C5" t="str">
        <f>IFERROR(VLOOKUP(Table3[[#This Row],[Item Code]],Table2[#All],2,0),"")</f>
        <v>Processor</v>
      </c>
      <c r="D5">
        <f>SUMIF(Table2[Iteam Code],Table3[[#This Row],[Item Code]],Table2[Qty])</f>
        <v>100</v>
      </c>
      <c r="E5">
        <f>SUMIF(Table4[Item code],Table3[[#This Row],[Item Code]],Table4[Qty])</f>
        <v>61</v>
      </c>
      <c r="F5">
        <f>Table3[[#This Row],[Purchase]]-Table3[[#This Row],[Sales]]</f>
        <v>39</v>
      </c>
      <c r="N5" s="9"/>
    </row>
    <row r="6" spans="2:14" x14ac:dyDescent="0.3">
      <c r="B6">
        <v>1002</v>
      </c>
      <c r="C6" t="str">
        <f>IFERROR(VLOOKUP(Table3[[#This Row],[Item Code]],Table2[#All],2,0),"")</f>
        <v>Motherboard</v>
      </c>
      <c r="D6">
        <f>SUMIF(Table2[Iteam Code],Table3[[#This Row],[Item Code]],Table2[Qty])</f>
        <v>75</v>
      </c>
      <c r="E6">
        <f>SUMIF(Table4[Item code],Table3[[#This Row],[Item Code]],Table4[Qty])</f>
        <v>8</v>
      </c>
      <c r="F6">
        <f>Table3[[#This Row],[Purchase]]-Table3[[#This Row],[Sales]]</f>
        <v>67</v>
      </c>
    </row>
    <row r="7" spans="2:14" x14ac:dyDescent="0.3">
      <c r="B7">
        <v>1003</v>
      </c>
      <c r="C7" t="str">
        <f>IFERROR(VLOOKUP(Table3[[#This Row],[Item Code]],Table2[#All],2,0),"")</f>
        <v>RAM</v>
      </c>
      <c r="D7">
        <f>SUMIF(Table2[Iteam Code],Table3[[#This Row],[Item Code]],Table2[Qty])</f>
        <v>75</v>
      </c>
      <c r="E7">
        <f>SUMIF(Table4[Item code],Table3[[#This Row],[Item Code]],Table4[Qty])</f>
        <v>35</v>
      </c>
      <c r="F7">
        <f>Table3[[#This Row],[Purchase]]-Table3[[#This Row],[Sales]]</f>
        <v>40</v>
      </c>
    </row>
    <row r="8" spans="2:14" x14ac:dyDescent="0.3">
      <c r="B8">
        <v>1004</v>
      </c>
      <c r="C8" t="str">
        <f>IFERROR(VLOOKUP(Table3[[#This Row],[Item Code]],Table2[#All],2,0),"")</f>
        <v>SSD</v>
      </c>
      <c r="D8">
        <f>SUMIF(Table2[Iteam Code],Table3[[#This Row],[Item Code]],Table2[Qty])</f>
        <v>50</v>
      </c>
      <c r="E8">
        <f>SUMIF(Table4[Item code],Table3[[#This Row],[Item Code]],Table4[Qty])</f>
        <v>1</v>
      </c>
      <c r="F8">
        <f>Table3[[#This Row],[Purchase]]-Table3[[#This Row],[Sales]]</f>
        <v>49</v>
      </c>
    </row>
    <row r="9" spans="2:14" x14ac:dyDescent="0.3">
      <c r="B9">
        <v>1005</v>
      </c>
      <c r="C9" t="str">
        <f>IFERROR(VLOOKUP(Table3[[#This Row],[Item Code]],Table2[#All],2,0),"")</f>
        <v>monitor</v>
      </c>
      <c r="D9">
        <f>SUMIF(Table2[Iteam Code],Table3[[#This Row],[Item Code]],Table2[Qty])</f>
        <v>20</v>
      </c>
      <c r="E9">
        <f>SUMIF(Table4[Item code],Table3[[#This Row],[Item Code]],Table4[Qty])</f>
        <v>0</v>
      </c>
      <c r="F9">
        <f>Table3[[#This Row],[Purchase]]-Table3[[#This Row],[Sales]]</f>
        <v>20</v>
      </c>
    </row>
    <row r="10" spans="2:14" x14ac:dyDescent="0.3">
      <c r="B10">
        <v>1006</v>
      </c>
      <c r="C10" t="str">
        <f>IFERROR(VLOOKUP(Table3[[#This Row],[Item Code]],Table2[#All],2,0),"")</f>
        <v>Cassing</v>
      </c>
      <c r="D10">
        <f>SUMIF(Table2[Iteam Code],Table3[[#This Row],[Item Code]],Table2[Qty])</f>
        <v>33</v>
      </c>
      <c r="E10">
        <f>SUMIF(Table4[Item code],Table3[[#This Row],[Item Code]],Table4[Qty])</f>
        <v>0</v>
      </c>
      <c r="F10">
        <f>Table3[[#This Row],[Purchase]]-Table3[[#This Row],[Sales]]</f>
        <v>33</v>
      </c>
    </row>
    <row r="11" spans="2:14" x14ac:dyDescent="0.3">
      <c r="B11">
        <v>1007</v>
      </c>
      <c r="C11" t="str">
        <f>IFERROR(VLOOKUP(Table3[[#This Row],[Item Code]],Table2[#All],2,0),"")</f>
        <v/>
      </c>
      <c r="D11">
        <f>SUMIF(Table2[Iteam Code],Table3[[#This Row],[Item Code]],Table2[Qty])</f>
        <v>0</v>
      </c>
      <c r="E11">
        <f>SUMIF(Table4[Item code],Table3[[#This Row],[Item Code]],Table4[Qty])</f>
        <v>0</v>
      </c>
      <c r="F11">
        <f>Table3[[#This Row],[Purchase]]-Table3[[#This Row],[Sales]]</f>
        <v>0</v>
      </c>
    </row>
    <row r="12" spans="2:14" x14ac:dyDescent="0.3">
      <c r="B12">
        <v>1008</v>
      </c>
      <c r="C12" t="str">
        <f>IFERROR(VLOOKUP(Table3[[#This Row],[Item Code]],Table2[#All],2,0),"")</f>
        <v/>
      </c>
      <c r="D12">
        <f>SUMIF(Table2[Iteam Code],Table3[[#This Row],[Item Code]],Table2[Qty])</f>
        <v>0</v>
      </c>
      <c r="E12">
        <f>SUMIF(Table4[Item code],Table3[[#This Row],[Item Code]],Table4[Qty])</f>
        <v>0</v>
      </c>
      <c r="F12">
        <f>Table3[[#This Row],[Purchase]]-Table3[[#This Row],[Sales]]</f>
        <v>0</v>
      </c>
    </row>
    <row r="13" spans="2:14" x14ac:dyDescent="0.3">
      <c r="B13">
        <v>1009</v>
      </c>
      <c r="C13" t="str">
        <f>IFERROR(VLOOKUP(Table3[[#This Row],[Item Code]],Table2[#All],2,0),"")</f>
        <v/>
      </c>
      <c r="D13">
        <f>SUMIF(Table2[Iteam Code],Table3[[#This Row],[Item Code]],Table2[Qty])</f>
        <v>0</v>
      </c>
      <c r="E13">
        <f>SUMIF(Table4[Item code],Table3[[#This Row],[Item Code]],Table4[Qty])</f>
        <v>0</v>
      </c>
      <c r="F13">
        <f>Table3[[#This Row],[Purchase]]-Table3[[#This Row],[Sales]]</f>
        <v>0</v>
      </c>
    </row>
    <row r="14" spans="2:14" x14ac:dyDescent="0.3">
      <c r="C14" t="str">
        <f>IFERROR(VLOOKUP(Table3[[#This Row],[Item Code]],Table2[#All],2,0),"")</f>
        <v/>
      </c>
      <c r="D14">
        <f>SUMIF(Table2[Iteam Code],Table3[[#This Row],[Item Code]],Table2[Qty])</f>
        <v>0</v>
      </c>
      <c r="E14">
        <f>SUMIF(Table4[Item code],Table3[[#This Row],[Item Code]],Table4[Qty])</f>
        <v>0</v>
      </c>
      <c r="F14">
        <f>Table3[[#This Row],[Purchase]]-Table3[[#This Row],[Sales]]</f>
        <v>0</v>
      </c>
    </row>
    <row r="15" spans="2:14" x14ac:dyDescent="0.3">
      <c r="C15" t="str">
        <f>IFERROR(VLOOKUP(Table3[[#This Row],[Item Code]],Table2[#All],2,0),"")</f>
        <v/>
      </c>
      <c r="D15">
        <f>SUMIF(Table2[Iteam Code],Table3[[#This Row],[Item Code]],Table2[Qty])</f>
        <v>0</v>
      </c>
      <c r="E15">
        <f>SUMIF(Table4[Item code],Table3[[#This Row],[Item Code]],Table4[Qty])</f>
        <v>0</v>
      </c>
      <c r="F15">
        <f>Table3[[#This Row],[Purchase]]-Table3[[#This Row],[Sales]]</f>
        <v>0</v>
      </c>
    </row>
    <row r="16" spans="2:14" x14ac:dyDescent="0.3">
      <c r="C16" t="str">
        <f>IFERROR(VLOOKUP(Table3[[#This Row],[Item Code]],Table2[#All],2,0),"")</f>
        <v/>
      </c>
      <c r="D16">
        <f>SUMIF(Table2[Iteam Code],Table3[[#This Row],[Item Code]],Table2[Qty])</f>
        <v>0</v>
      </c>
      <c r="E16">
        <f>SUMIF(Table4[Item code],Table3[[#This Row],[Item Code]],Table4[Qty])</f>
        <v>0</v>
      </c>
      <c r="F16">
        <f>Table3[[#This Row],[Purchase]]-Table3[[#This Row],[Sales]]</f>
        <v>0</v>
      </c>
    </row>
    <row r="17" spans="3:6" x14ac:dyDescent="0.3">
      <c r="C17" t="str">
        <f>IFERROR(VLOOKUP(Table3[[#This Row],[Item Code]],Table2[#All],2,0),"")</f>
        <v/>
      </c>
      <c r="D17">
        <f>SUMIF(Table2[Iteam Code],Table3[[#This Row],[Item Code]],Table2[Qty])</f>
        <v>0</v>
      </c>
      <c r="E17">
        <f>SUMIF(Table4[Item code],Table3[[#This Row],[Item Code]],Table4[Qty])</f>
        <v>0</v>
      </c>
      <c r="F17">
        <f>Table3[[#This Row],[Purchase]]-Table3[[#This Row],[Sales]]</f>
        <v>0</v>
      </c>
    </row>
    <row r="18" spans="3:6" x14ac:dyDescent="0.3">
      <c r="C18" t="str">
        <f>IFERROR(VLOOKUP(Table3[[#This Row],[Item Code]],Table2[#All],2,0),"")</f>
        <v/>
      </c>
      <c r="D18">
        <f>SUMIF(Table2[Iteam Code],Table3[[#This Row],[Item Code]],Table2[Qty])</f>
        <v>0</v>
      </c>
      <c r="E18">
        <f>SUMIF(Table4[Item code],Table3[[#This Row],[Item Code]],Table4[Qty])</f>
        <v>0</v>
      </c>
      <c r="F18">
        <f>Table3[[#This Row],[Purchase]]-Table3[[#This Row],[Sales]]</f>
        <v>0</v>
      </c>
    </row>
    <row r="19" spans="3:6" x14ac:dyDescent="0.3">
      <c r="C19" t="str">
        <f>IFERROR(VLOOKUP(Table3[[#This Row],[Item Code]],Table2[#All],2,0),"")</f>
        <v/>
      </c>
      <c r="D19">
        <f>SUMIF(Table2[Iteam Code],Table3[[#This Row],[Item Code]],Table2[Qty])</f>
        <v>0</v>
      </c>
      <c r="E19">
        <f>SUMIF(Table4[Item code],Table3[[#This Row],[Item Code]],Table4[Qty])</f>
        <v>0</v>
      </c>
      <c r="F19">
        <f>Table3[[#This Row],[Purchase]]-Table3[[#This Row],[Sales]]</f>
        <v>0</v>
      </c>
    </row>
    <row r="20" spans="3:6" x14ac:dyDescent="0.3">
      <c r="C20" t="str">
        <f>IFERROR(VLOOKUP(Table3[[#This Row],[Item Code]],Table2[#All],2,0),"")</f>
        <v/>
      </c>
      <c r="D20">
        <f>SUMIF(Table2[Iteam Code],Table3[[#This Row],[Item Code]],Table2[Qty])</f>
        <v>0</v>
      </c>
      <c r="E20">
        <f>SUMIF(Table4[Item code],Table3[[#This Row],[Item Code]],Table4[Qty])</f>
        <v>0</v>
      </c>
      <c r="F20">
        <f>Table3[[#This Row],[Purchase]]-Table3[[#This Row],[Sales]]</f>
        <v>0</v>
      </c>
    </row>
    <row r="21" spans="3:6" x14ac:dyDescent="0.3">
      <c r="C21" t="str">
        <f>IFERROR(VLOOKUP(Table3[[#This Row],[Item Code]],Table2[#All],2,0),"")</f>
        <v/>
      </c>
      <c r="D21">
        <f>SUMIF(Table2[Iteam Code],Table3[[#This Row],[Item Code]],Table2[Qty])</f>
        <v>0</v>
      </c>
      <c r="E21">
        <f>SUMIF(Table4[Item code],Table3[[#This Row],[Item Code]],Table4[Qty])</f>
        <v>0</v>
      </c>
      <c r="F21">
        <f>Table3[[#This Row],[Purchase]]-Table3[[#This Row],[Sales]]</f>
        <v>0</v>
      </c>
    </row>
    <row r="22" spans="3:6" x14ac:dyDescent="0.3">
      <c r="C22" t="str">
        <f>IFERROR(VLOOKUP(Table3[[#This Row],[Item Code]],Table2[#All],2,0),"")</f>
        <v/>
      </c>
      <c r="D22">
        <f>SUMIF(Table2[Iteam Code],Table3[[#This Row],[Item Code]],Table2[Qty])</f>
        <v>0</v>
      </c>
      <c r="E22">
        <f>SUMIF(Table4[Item code],Table3[[#This Row],[Item Code]],Table4[Qty])</f>
        <v>0</v>
      </c>
      <c r="F22">
        <f>Table3[[#This Row],[Purchase]]-Table3[[#This Row],[Sales]]</f>
        <v>0</v>
      </c>
    </row>
    <row r="23" spans="3:6" x14ac:dyDescent="0.3">
      <c r="C23" t="str">
        <f>IFERROR(VLOOKUP(Table3[[#This Row],[Item Code]],Table2[#All],2,0),"")</f>
        <v/>
      </c>
      <c r="D23">
        <f>SUMIF(Table2[Iteam Code],Table3[[#This Row],[Item Code]],Table2[Qty])</f>
        <v>0</v>
      </c>
      <c r="E23">
        <f>SUMIF(Table4[Item code],Table3[[#This Row],[Item Code]],Table4[Qty])</f>
        <v>0</v>
      </c>
      <c r="F23">
        <f>Table3[[#This Row],[Purchase]]-Table3[[#This Row],[Sales]]</f>
        <v>0</v>
      </c>
    </row>
    <row r="24" spans="3:6" x14ac:dyDescent="0.3">
      <c r="C24" t="str">
        <f>IFERROR(VLOOKUP(Table3[[#This Row],[Item Code]],Table2[#All],2,0),"")</f>
        <v/>
      </c>
      <c r="D24">
        <f>SUMIF(Table2[Iteam Code],Table3[[#This Row],[Item Code]],Table2[Qty])</f>
        <v>0</v>
      </c>
      <c r="E24">
        <f>SUMIF(Table4[Item code],Table3[[#This Row],[Item Code]],Table4[Qty])</f>
        <v>0</v>
      </c>
      <c r="F24">
        <f>Table3[[#This Row],[Purchase]]-Table3[[#This Row],[Sales]]</f>
        <v>0</v>
      </c>
    </row>
    <row r="25" spans="3:6" x14ac:dyDescent="0.3">
      <c r="C25" t="str">
        <f>IFERROR(VLOOKUP(Table3[[#This Row],[Item Code]],Table2[#All],2,0),"")</f>
        <v/>
      </c>
      <c r="D25">
        <f>SUMIF(Table2[Iteam Code],Table3[[#This Row],[Item Code]],Table2[Qty])</f>
        <v>0</v>
      </c>
      <c r="E25">
        <f>SUMIF(Table4[Item code],Table3[[#This Row],[Item Code]],Table4[Qty])</f>
        <v>0</v>
      </c>
      <c r="F25">
        <f>Table3[[#This Row],[Purchase]]-Table3[[#This Row],[Sales]]</f>
        <v>0</v>
      </c>
    </row>
    <row r="26" spans="3:6" x14ac:dyDescent="0.3">
      <c r="C26" t="str">
        <f>IFERROR(VLOOKUP(Table3[[#This Row],[Item Code]],Table2[#All],2,0),"")</f>
        <v/>
      </c>
      <c r="D26">
        <f>SUMIF(Table2[Iteam Code],Table3[[#This Row],[Item Code]],Table2[Qty])</f>
        <v>0</v>
      </c>
      <c r="E26">
        <f>SUMIF(Table4[Item code],Table3[[#This Row],[Item Code]],Table4[Qty])</f>
        <v>0</v>
      </c>
      <c r="F26">
        <f>Table3[[#This Row],[Purchase]]-Table3[[#This Row],[Sales]]</f>
        <v>0</v>
      </c>
    </row>
    <row r="27" spans="3:6" x14ac:dyDescent="0.3">
      <c r="C27" t="str">
        <f>IFERROR(VLOOKUP(Table3[[#This Row],[Item Code]],Table2[#All],2,0),"")</f>
        <v/>
      </c>
      <c r="D27">
        <f>SUMIF(Table2[Iteam Code],Table3[[#This Row],[Item Code]],Table2[Qty])</f>
        <v>0</v>
      </c>
      <c r="E27">
        <f>SUMIF(Table4[Item code],Table3[[#This Row],[Item Code]],Table4[Qty])</f>
        <v>0</v>
      </c>
      <c r="F27">
        <f>Table3[[#This Row],[Purchase]]-Table3[[#This Row],[Sales]]</f>
        <v>0</v>
      </c>
    </row>
    <row r="28" spans="3:6" x14ac:dyDescent="0.3">
      <c r="C28" t="str">
        <f>IFERROR(VLOOKUP(Table3[[#This Row],[Item Code]],Table2[#All],2,0),"")</f>
        <v/>
      </c>
      <c r="D28">
        <f>SUMIF(Table2[Iteam Code],Table3[[#This Row],[Item Code]],Table2[Qty])</f>
        <v>0</v>
      </c>
      <c r="E28">
        <f>SUMIF(Table4[Item code],Table3[[#This Row],[Item Code]],Table4[Qty])</f>
        <v>0</v>
      </c>
      <c r="F28">
        <f>Table3[[#This Row],[Purchase]]-Table3[[#This Row],[Sales]]</f>
        <v>0</v>
      </c>
    </row>
    <row r="29" spans="3:6" x14ac:dyDescent="0.3">
      <c r="C29" t="str">
        <f>IFERROR(VLOOKUP(Table3[[#This Row],[Item Code]],Table2[#All],2,0),"")</f>
        <v/>
      </c>
      <c r="D29">
        <f>SUMIF(Table2[Iteam Code],Table3[[#This Row],[Item Code]],Table2[Qty])</f>
        <v>0</v>
      </c>
      <c r="E29">
        <f>SUMIF(Table4[Item code],Table3[[#This Row],[Item Code]],Table4[Qty])</f>
        <v>0</v>
      </c>
      <c r="F29">
        <f>Table3[[#This Row],[Purchase]]-Table3[[#This Row],[Sales]]</f>
        <v>0</v>
      </c>
    </row>
    <row r="30" spans="3:6" x14ac:dyDescent="0.3">
      <c r="C30" t="str">
        <f>IFERROR(VLOOKUP(Table3[[#This Row],[Item Code]],Table2[#All],2,0),"")</f>
        <v/>
      </c>
      <c r="D30">
        <f>SUMIF(Table2[Iteam Code],Table3[[#This Row],[Item Code]],Table2[Qty])</f>
        <v>0</v>
      </c>
      <c r="E30">
        <f>SUMIF(Table4[Item code],Table3[[#This Row],[Item Code]],Table4[Qty])</f>
        <v>0</v>
      </c>
      <c r="F30">
        <f>Table3[[#This Row],[Purchase]]-Table3[[#This Row],[Sales]]</f>
        <v>0</v>
      </c>
    </row>
    <row r="31" spans="3:6" x14ac:dyDescent="0.3">
      <c r="C31" t="str">
        <f>IFERROR(VLOOKUP(Table3[[#This Row],[Item Code]],Table2[#All],2,0),"")</f>
        <v/>
      </c>
      <c r="D31">
        <f>SUMIF(Table2[Iteam Code],Table3[[#This Row],[Item Code]],Table2[Qty])</f>
        <v>0</v>
      </c>
      <c r="E31">
        <f>SUMIF(Table4[Item code],Table3[[#This Row],[Item Code]],Table4[Qty])</f>
        <v>0</v>
      </c>
      <c r="F31">
        <f>Table3[[#This Row],[Purchase]]-Table3[[#This Row],[Sales]]</f>
        <v>0</v>
      </c>
    </row>
    <row r="32" spans="3:6" x14ac:dyDescent="0.3">
      <c r="C32" t="str">
        <f>IFERROR(VLOOKUP(Table3[[#This Row],[Item Code]],Table2[#All],2,0),"")</f>
        <v/>
      </c>
      <c r="D32">
        <f>SUMIF(Table2[Iteam Code],Table3[[#This Row],[Item Code]],Table2[Qty])</f>
        <v>0</v>
      </c>
      <c r="E32">
        <f>SUMIF(Table4[Item code],Table3[[#This Row],[Item Code]],Table4[Qty])</f>
        <v>0</v>
      </c>
      <c r="F32">
        <f>Table3[[#This Row],[Purchase]]-Table3[[#This Row],[Sales]]</f>
        <v>0</v>
      </c>
    </row>
    <row r="33" spans="3:6" x14ac:dyDescent="0.3">
      <c r="C33" t="str">
        <f>IFERROR(VLOOKUP(Table3[[#This Row],[Item Code]],Table2[#All],2,0),"")</f>
        <v/>
      </c>
      <c r="D33">
        <f>SUMIF(Table2[Iteam Code],Table3[[#This Row],[Item Code]],Table2[Qty])</f>
        <v>0</v>
      </c>
      <c r="E33">
        <f>SUMIF(Table4[Item code],Table3[[#This Row],[Item Code]],Table4[Qty])</f>
        <v>0</v>
      </c>
      <c r="F33">
        <f>Table3[[#This Row],[Purchase]]-Table3[[#This Row],[Sales]]</f>
        <v>0</v>
      </c>
    </row>
    <row r="34" spans="3:6" x14ac:dyDescent="0.3">
      <c r="C34" t="str">
        <f>IFERROR(VLOOKUP(Table3[[#This Row],[Item Code]],Table2[#All],2,0),"")</f>
        <v/>
      </c>
      <c r="D34">
        <f>SUMIF(Table2[Iteam Code],Table3[[#This Row],[Item Code]],Table2[Qty])</f>
        <v>0</v>
      </c>
      <c r="E34">
        <f>SUMIF(Table4[Item code],Table3[[#This Row],[Item Code]],Table4[Qty])</f>
        <v>0</v>
      </c>
      <c r="F34">
        <f>Table3[[#This Row],[Purchase]]-Table3[[#This Row],[Sales]]</f>
        <v>0</v>
      </c>
    </row>
    <row r="35" spans="3:6" x14ac:dyDescent="0.3">
      <c r="C35" t="str">
        <f>IFERROR(VLOOKUP(Table3[[#This Row],[Item Code]],Table2[#All],2,0),"")</f>
        <v/>
      </c>
      <c r="D35">
        <f>SUMIF(Table2[Iteam Code],Table3[[#This Row],[Item Code]],Table2[Qty])</f>
        <v>0</v>
      </c>
      <c r="E35">
        <f>SUMIF(Table4[Item code],Table3[[#This Row],[Item Code]],Table4[Qty])</f>
        <v>0</v>
      </c>
      <c r="F35">
        <f>Table3[[#This Row],[Purchase]]-Table3[[#This Row],[Sales]]</f>
        <v>0</v>
      </c>
    </row>
    <row r="36" spans="3:6" x14ac:dyDescent="0.3">
      <c r="C36" t="str">
        <f>IFERROR(VLOOKUP(Table3[[#This Row],[Item Code]],Table2[#All],2,0),"")</f>
        <v/>
      </c>
      <c r="D36">
        <f>SUMIF(Table2[Iteam Code],Table3[[#This Row],[Item Code]],Table2[Qty])</f>
        <v>0</v>
      </c>
      <c r="E36">
        <f>SUMIF(Table4[Item code],Table3[[#This Row],[Item Code]],Table4[Qty])</f>
        <v>0</v>
      </c>
      <c r="F36">
        <f>Table3[[#This Row],[Purchase]]-Table3[[#This Row],[Sales]]</f>
        <v>0</v>
      </c>
    </row>
    <row r="37" spans="3:6" x14ac:dyDescent="0.3">
      <c r="C37" t="str">
        <f>IFERROR(VLOOKUP(Table3[[#This Row],[Item Code]],Table2[#All],2,0),"")</f>
        <v/>
      </c>
      <c r="D37">
        <f>SUMIF(Table2[Iteam Code],Table3[[#This Row],[Item Code]],Table2[Qty])</f>
        <v>0</v>
      </c>
      <c r="E37">
        <f>SUMIF(Table4[Item code],Table3[[#This Row],[Item Code]],Table4[Qty])</f>
        <v>0</v>
      </c>
      <c r="F37">
        <f>Table3[[#This Row],[Purchase]]-Table3[[#This Row],[Sales]]</f>
        <v>0</v>
      </c>
    </row>
    <row r="38" spans="3:6" x14ac:dyDescent="0.3">
      <c r="C38" t="str">
        <f>IFERROR(VLOOKUP(Table3[[#This Row],[Item Code]],Table2[#All],2,0),"")</f>
        <v/>
      </c>
      <c r="D38">
        <f>SUMIF(Table2[Iteam Code],Table3[[#This Row],[Item Code]],Table2[Qty])</f>
        <v>0</v>
      </c>
      <c r="E38">
        <f>SUMIF(Table4[Item code],Table3[[#This Row],[Item Code]],Table4[Qty])</f>
        <v>0</v>
      </c>
      <c r="F38">
        <f>Table3[[#This Row],[Purchase]]-Table3[[#This Row],[Sales]]</f>
        <v>0</v>
      </c>
    </row>
    <row r="39" spans="3:6" x14ac:dyDescent="0.3">
      <c r="C39" t="str">
        <f>IFERROR(VLOOKUP(Table3[[#This Row],[Item Code]],Table2[#All],2,0),"")</f>
        <v/>
      </c>
      <c r="D39">
        <f>SUMIF(Table2[Iteam Code],Table3[[#This Row],[Item Code]],Table2[Qty])</f>
        <v>0</v>
      </c>
      <c r="E39">
        <f>SUMIF(Table4[Item code],Table3[[#This Row],[Item Code]],Table4[Qty])</f>
        <v>0</v>
      </c>
      <c r="F39">
        <f>Table3[[#This Row],[Purchase]]-Table3[[#This Row],[Sales]]</f>
        <v>0</v>
      </c>
    </row>
    <row r="40" spans="3:6" x14ac:dyDescent="0.3">
      <c r="C40" t="str">
        <f>IFERROR(VLOOKUP(Table3[[#This Row],[Item Code]],Table2[#All],2,0),"")</f>
        <v/>
      </c>
      <c r="D40">
        <f>SUMIF(Table2[Iteam Code],Table3[[#This Row],[Item Code]],Table2[Qty])</f>
        <v>0</v>
      </c>
      <c r="E40">
        <f>SUMIF(Table4[Item code],Table3[[#This Row],[Item Code]],Table4[Qty])</f>
        <v>0</v>
      </c>
      <c r="F40">
        <f>Table3[[#This Row],[Purchase]]-Table3[[#This Row],[Sales]]</f>
        <v>0</v>
      </c>
    </row>
    <row r="41" spans="3:6" x14ac:dyDescent="0.3">
      <c r="C41" t="str">
        <f>IFERROR(VLOOKUP(Table3[[#This Row],[Item Code]],Table2[#All],2,0),"")</f>
        <v/>
      </c>
      <c r="D41">
        <f>SUMIF(Table2[Iteam Code],Table3[[#This Row],[Item Code]],Table2[Qty])</f>
        <v>0</v>
      </c>
      <c r="E41">
        <f>SUMIF(Table4[Item code],Table3[[#This Row],[Item Code]],Table4[Qty])</f>
        <v>0</v>
      </c>
      <c r="F41">
        <f>Table3[[#This Row],[Purchase]]-Table3[[#This Row],[Sales]]</f>
        <v>0</v>
      </c>
    </row>
    <row r="42" spans="3:6" x14ac:dyDescent="0.3">
      <c r="C42" t="str">
        <f>IFERROR(VLOOKUP(Table3[[#This Row],[Item Code]],Table2[#All],2,0),"")</f>
        <v/>
      </c>
      <c r="D42">
        <f>SUMIF(Table2[Iteam Code],Table3[[#This Row],[Item Code]],Table2[Qty])</f>
        <v>0</v>
      </c>
      <c r="E42">
        <f>SUMIF(Table4[Item code],Table3[[#This Row],[Item Code]],Table4[Qty])</f>
        <v>0</v>
      </c>
      <c r="F42">
        <f>Table3[[#This Row],[Purchase]]-Table3[[#This Row],[Sales]]</f>
        <v>0</v>
      </c>
    </row>
    <row r="43" spans="3:6" x14ac:dyDescent="0.3">
      <c r="C43" t="str">
        <f>IFERROR(VLOOKUP(Table3[[#This Row],[Item Code]],Table2[#All],2,0),"")</f>
        <v/>
      </c>
      <c r="D43">
        <f>SUMIF(Table2[Iteam Code],Table3[[#This Row],[Item Code]],Table2[Qty])</f>
        <v>0</v>
      </c>
      <c r="E43">
        <f>SUMIF(Table4[Item code],Table3[[#This Row],[Item Code]],Table4[Qty])</f>
        <v>0</v>
      </c>
      <c r="F43">
        <f>Table3[[#This Row],[Purchase]]-Table3[[#This Row],[Sales]]</f>
        <v>0</v>
      </c>
    </row>
    <row r="44" spans="3:6" x14ac:dyDescent="0.3">
      <c r="C44" t="str">
        <f>IFERROR(VLOOKUP(Table3[[#This Row],[Item Code]],Table2[#All],2,0),"")</f>
        <v/>
      </c>
      <c r="D44">
        <f>SUMIF(Table2[Iteam Code],Table3[[#This Row],[Item Code]],Table2[Qty])</f>
        <v>0</v>
      </c>
      <c r="E44">
        <f>SUMIF(Table4[Item code],Table3[[#This Row],[Item Code]],Table4[Qty])</f>
        <v>0</v>
      </c>
      <c r="F44">
        <f>Table3[[#This Row],[Purchase]]-Table3[[#This Row],[Sales]]</f>
        <v>0</v>
      </c>
    </row>
    <row r="45" spans="3:6" x14ac:dyDescent="0.3">
      <c r="C45" t="str">
        <f>IFERROR(VLOOKUP(Table3[[#This Row],[Item Code]],Table2[#All],2,0),"")</f>
        <v/>
      </c>
      <c r="D45">
        <f>SUMIF(Table2[Iteam Code],Table3[[#This Row],[Item Code]],Table2[Qty])</f>
        <v>0</v>
      </c>
      <c r="E45">
        <f>SUMIF(Table4[Item code],Table3[[#This Row],[Item Code]],Table4[Qty])</f>
        <v>0</v>
      </c>
      <c r="F45">
        <f>Table3[[#This Row],[Purchase]]-Table3[[#This Row],[Sales]]</f>
        <v>0</v>
      </c>
    </row>
    <row r="46" spans="3:6" x14ac:dyDescent="0.3">
      <c r="C46" t="str">
        <f>IFERROR(VLOOKUP(Table3[[#This Row],[Item Code]],Table2[#All],2,0),"")</f>
        <v/>
      </c>
      <c r="D46">
        <f>SUMIF(Table2[Iteam Code],Table3[[#This Row],[Item Code]],Table2[Qty])</f>
        <v>0</v>
      </c>
      <c r="E46">
        <f>SUMIF(Table4[Item code],Table3[[#This Row],[Item Code]],Table4[Qty])</f>
        <v>0</v>
      </c>
      <c r="F46">
        <f>Table3[[#This Row],[Purchase]]-Table3[[#This Row],[Sales]]</f>
        <v>0</v>
      </c>
    </row>
    <row r="47" spans="3:6" x14ac:dyDescent="0.3">
      <c r="C47" t="str">
        <f>IFERROR(VLOOKUP(Table3[[#This Row],[Item Code]],Table2[#All],2,0),"")</f>
        <v/>
      </c>
      <c r="D47">
        <f>SUMIF(Table2[Iteam Code],Table3[[#This Row],[Item Code]],Table2[Qty])</f>
        <v>0</v>
      </c>
      <c r="E47">
        <f>SUMIF(Table4[Item code],Table3[[#This Row],[Item Code]],Table4[Qty])</f>
        <v>0</v>
      </c>
      <c r="F47">
        <f>Table3[[#This Row],[Purchase]]-Table3[[#This Row],[Sales]]</f>
        <v>0</v>
      </c>
    </row>
    <row r="48" spans="3:6" x14ac:dyDescent="0.3">
      <c r="C48" t="str">
        <f>IFERROR(VLOOKUP(Table3[[#This Row],[Item Code]],Table2[#All],2,0),"")</f>
        <v/>
      </c>
      <c r="D48">
        <f>SUMIF(Table2[Iteam Code],Table3[[#This Row],[Item Code]],Table2[Qty])</f>
        <v>0</v>
      </c>
      <c r="E48">
        <f>SUMIF(Table4[Item code],Table3[[#This Row],[Item Code]],Table4[Qty])</f>
        <v>0</v>
      </c>
      <c r="F48">
        <f>Table3[[#This Row],[Purchase]]-Table3[[#This Row],[Sales]]</f>
        <v>0</v>
      </c>
    </row>
    <row r="49" spans="3:6" x14ac:dyDescent="0.3">
      <c r="C49" t="str">
        <f>IFERROR(VLOOKUP(Table3[[#This Row],[Item Code]],Table2[#All],2,0),"")</f>
        <v/>
      </c>
      <c r="D49">
        <f>SUMIF(Table2[Iteam Code],Table3[[#This Row],[Item Code]],Table2[Qty])</f>
        <v>0</v>
      </c>
      <c r="E49">
        <f>SUMIF(Table4[Item code],Table3[[#This Row],[Item Code]],Table4[Qty])</f>
        <v>0</v>
      </c>
      <c r="F49">
        <f>Table3[[#This Row],[Purchase]]-Table3[[#This Row],[Sales]]</f>
        <v>0</v>
      </c>
    </row>
    <row r="50" spans="3:6" x14ac:dyDescent="0.3">
      <c r="C50" t="str">
        <f>IFERROR(VLOOKUP(Table3[[#This Row],[Item Code]],Table2[#All],2,0),"")</f>
        <v/>
      </c>
      <c r="D50">
        <f>SUMIF(Table2[Iteam Code],Table3[[#This Row],[Item Code]],Table2[Qty])</f>
        <v>0</v>
      </c>
      <c r="E50">
        <f>SUMIF(Table4[Item code],Table3[[#This Row],[Item Code]],Table4[Qty])</f>
        <v>0</v>
      </c>
      <c r="F50">
        <f>Table3[[#This Row],[Purchase]]-Table3[[#This Row],[Sales]]</f>
        <v>0</v>
      </c>
    </row>
    <row r="51" spans="3:6" x14ac:dyDescent="0.3">
      <c r="C51" t="str">
        <f>IFERROR(VLOOKUP(Table3[[#This Row],[Item Code]],Table2[#All],2,0),"")</f>
        <v/>
      </c>
      <c r="D51">
        <f>SUMIF(Table2[Iteam Code],Table3[[#This Row],[Item Code]],Table2[Qty])</f>
        <v>0</v>
      </c>
      <c r="E51">
        <f>SUMIF(Table4[Item code],Table3[[#This Row],[Item Code]],Table4[Qty])</f>
        <v>0</v>
      </c>
      <c r="F51">
        <f>Table3[[#This Row],[Purchase]]-Table3[[#This Row],[Sales]]</f>
        <v>0</v>
      </c>
    </row>
    <row r="52" spans="3:6" x14ac:dyDescent="0.3">
      <c r="C52" t="str">
        <f>IFERROR(VLOOKUP(Table3[[#This Row],[Item Code]],Table2[#All],2,0),"")</f>
        <v/>
      </c>
      <c r="D52">
        <f>SUMIF(Table2[Iteam Code],Table3[[#This Row],[Item Code]],Table2[Qty])</f>
        <v>0</v>
      </c>
      <c r="E52">
        <f>SUMIF(Table4[Item code],Table3[[#This Row],[Item Code]],Table4[Qty])</f>
        <v>0</v>
      </c>
      <c r="F52">
        <f>Table3[[#This Row],[Purchase]]-Table3[[#This Row],[Sales]]</f>
        <v>0</v>
      </c>
    </row>
    <row r="53" spans="3:6" x14ac:dyDescent="0.3">
      <c r="C53" t="str">
        <f>IFERROR(VLOOKUP(Table3[[#This Row],[Item Code]],Table2[#All],2,0),"")</f>
        <v/>
      </c>
      <c r="D53">
        <f>SUMIF(Table2[Iteam Code],Table3[[#This Row],[Item Code]],Table2[Qty])</f>
        <v>0</v>
      </c>
      <c r="E53">
        <f>SUMIF(Table4[Item code],Table3[[#This Row],[Item Code]],Table4[Qty])</f>
        <v>0</v>
      </c>
      <c r="F53">
        <f>Table3[[#This Row],[Purchase]]-Table3[[#This Row],[Sales]]</f>
        <v>0</v>
      </c>
    </row>
    <row r="54" spans="3:6" x14ac:dyDescent="0.3">
      <c r="C54" t="str">
        <f>IFERROR(VLOOKUP(Table3[[#This Row],[Item Code]],Table2[#All],2,0),"")</f>
        <v/>
      </c>
      <c r="D54">
        <f>SUMIF(Table2[Iteam Code],Table3[[#This Row],[Item Code]],Table2[Qty])</f>
        <v>0</v>
      </c>
      <c r="E54">
        <f>SUMIF(Table4[Item code],Table3[[#This Row],[Item Code]],Table4[Qty])</f>
        <v>0</v>
      </c>
      <c r="F54">
        <f>Table3[[#This Row],[Purchase]]-Table3[[#This Row],[Sales]]</f>
        <v>0</v>
      </c>
    </row>
    <row r="55" spans="3:6" x14ac:dyDescent="0.3">
      <c r="C55" t="str">
        <f>IFERROR(VLOOKUP(Table3[[#This Row],[Item Code]],Table2[#All],2,0),"")</f>
        <v/>
      </c>
      <c r="D55">
        <f>SUMIF(Table2[Iteam Code],Table3[[#This Row],[Item Code]],Table2[Qty])</f>
        <v>0</v>
      </c>
      <c r="E55">
        <f>SUMIF(Table4[Item code],Table3[[#This Row],[Item Code]],Table4[Qty])</f>
        <v>0</v>
      </c>
      <c r="F55">
        <f>Table3[[#This Row],[Purchase]]-Table3[[#This Row],[Sales]]</f>
        <v>0</v>
      </c>
    </row>
    <row r="56" spans="3:6" x14ac:dyDescent="0.3">
      <c r="C56" t="str">
        <f>IFERROR(VLOOKUP(Table3[[#This Row],[Item Code]],Table2[#All],2,0),"")</f>
        <v/>
      </c>
      <c r="D56">
        <f>SUMIF(Table2[Iteam Code],Table3[[#This Row],[Item Code]],Table2[Qty])</f>
        <v>0</v>
      </c>
      <c r="E56">
        <f>SUMIF(Table4[Item code],Table3[[#This Row],[Item Code]],Table4[Qty])</f>
        <v>0</v>
      </c>
      <c r="F56">
        <f>Table3[[#This Row],[Purchase]]-Table3[[#This Row],[Sales]]</f>
        <v>0</v>
      </c>
    </row>
    <row r="57" spans="3:6" x14ac:dyDescent="0.3">
      <c r="C57" t="str">
        <f>IFERROR(VLOOKUP(Table3[[#This Row],[Item Code]],Table2[#All],2,0),"")</f>
        <v/>
      </c>
      <c r="D57">
        <f>SUMIF(Table2[Iteam Code],Table3[[#This Row],[Item Code]],Table2[Qty])</f>
        <v>0</v>
      </c>
      <c r="E57">
        <f>SUMIF(Table4[Item code],Table3[[#This Row],[Item Code]],Table4[Qty])</f>
        <v>0</v>
      </c>
      <c r="F57">
        <f>Table3[[#This Row],[Purchase]]-Table3[[#This Row],[Sales]]</f>
        <v>0</v>
      </c>
    </row>
    <row r="58" spans="3:6" x14ac:dyDescent="0.3">
      <c r="C58" t="str">
        <f>IFERROR(VLOOKUP(Table3[[#This Row],[Item Code]],Table2[#All],2,0),"")</f>
        <v/>
      </c>
      <c r="D58">
        <f>SUMIF(Table2[Iteam Code],Table3[[#This Row],[Item Code]],Table2[Qty])</f>
        <v>0</v>
      </c>
      <c r="E58">
        <f>SUMIF(Table4[Item code],Table3[[#This Row],[Item Code]],Table4[Qty])</f>
        <v>0</v>
      </c>
      <c r="F58">
        <f>Table3[[#This Row],[Purchase]]-Table3[[#This Row],[Sales]]</f>
        <v>0</v>
      </c>
    </row>
    <row r="59" spans="3:6" x14ac:dyDescent="0.3">
      <c r="C59" t="str">
        <f>IFERROR(VLOOKUP(Table3[[#This Row],[Item Code]],Table2[#All],2,0),"")</f>
        <v/>
      </c>
      <c r="D59">
        <f>SUMIF(Table2[Iteam Code],Table3[[#This Row],[Item Code]],Table2[Qty])</f>
        <v>0</v>
      </c>
      <c r="E59">
        <f>SUMIF(Table4[Item code],Table3[[#This Row],[Item Code]],Table4[Qty])</f>
        <v>0</v>
      </c>
      <c r="F59">
        <f>Table3[[#This Row],[Purchase]]-Table3[[#This Row],[Sales]]</f>
        <v>0</v>
      </c>
    </row>
    <row r="60" spans="3:6" x14ac:dyDescent="0.3">
      <c r="C60" t="str">
        <f>IFERROR(VLOOKUP(Table3[[#This Row],[Item Code]],Table2[#All],2,0),"")</f>
        <v/>
      </c>
      <c r="D60">
        <f>SUMIF(Table2[Iteam Code],Table3[[#This Row],[Item Code]],Table2[Qty])</f>
        <v>0</v>
      </c>
      <c r="E60">
        <f>SUMIF(Table4[Item code],Table3[[#This Row],[Item Code]],Table4[Qty])</f>
        <v>0</v>
      </c>
      <c r="F60">
        <f>Table3[[#This Row],[Purchase]]-Table3[[#This Row],[Sales]]</f>
        <v>0</v>
      </c>
    </row>
    <row r="61" spans="3:6" x14ac:dyDescent="0.3">
      <c r="C61" t="str">
        <f>IFERROR(VLOOKUP(Table3[[#This Row],[Item Code]],Table2[#All],2,0),"")</f>
        <v/>
      </c>
      <c r="D61">
        <f>SUMIF(Table2[Iteam Code],Table3[[#This Row],[Item Code]],Table2[Qty])</f>
        <v>0</v>
      </c>
      <c r="E61">
        <f>SUMIF(Table4[Item code],Table3[[#This Row],[Item Code]],Table4[Qty])</f>
        <v>0</v>
      </c>
      <c r="F61">
        <f>Table3[[#This Row],[Purchase]]-Table3[[#This Row],[Sales]]</f>
        <v>0</v>
      </c>
    </row>
    <row r="62" spans="3:6" x14ac:dyDescent="0.3">
      <c r="C62" t="str">
        <f>IFERROR(VLOOKUP(Table3[[#This Row],[Item Code]],Table2[#All],2,0),"")</f>
        <v/>
      </c>
      <c r="D62">
        <f>SUMIF(Table2[Iteam Code],Table3[[#This Row],[Item Code]],Table2[Qty])</f>
        <v>0</v>
      </c>
      <c r="E62">
        <f>SUMIF(Table4[Item code],Table3[[#This Row],[Item Code]],Table4[Qty])</f>
        <v>0</v>
      </c>
      <c r="F62">
        <f>Table3[[#This Row],[Purchase]]-Table3[[#This Row],[Sales]]</f>
        <v>0</v>
      </c>
    </row>
    <row r="63" spans="3:6" x14ac:dyDescent="0.3">
      <c r="C63" t="str">
        <f>IFERROR(VLOOKUP(Table3[[#This Row],[Item Code]],Table2[#All],2,0),"")</f>
        <v/>
      </c>
      <c r="D63">
        <f>SUMIF(Table2[Iteam Code],Table3[[#This Row],[Item Code]],Table2[Qty])</f>
        <v>0</v>
      </c>
      <c r="E63">
        <f>SUMIF(Table4[Item code],Table3[[#This Row],[Item Code]],Table4[Qty])</f>
        <v>0</v>
      </c>
      <c r="F63">
        <f>Table3[[#This Row],[Purchase]]-Table3[[#This Row],[Sales]]</f>
        <v>0</v>
      </c>
    </row>
    <row r="64" spans="3:6" x14ac:dyDescent="0.3">
      <c r="C64" t="str">
        <f>IFERROR(VLOOKUP(Table3[[#This Row],[Item Code]],Table2[#All],2,0),"")</f>
        <v/>
      </c>
      <c r="D64">
        <f>SUMIF(Table2[Iteam Code],Table3[[#This Row],[Item Code]],Table2[Qty])</f>
        <v>0</v>
      </c>
      <c r="E64">
        <f>SUMIF(Table4[Item code],Table3[[#This Row],[Item Code]],Table4[Qty])</f>
        <v>0</v>
      </c>
      <c r="F64">
        <f>Table3[[#This Row],[Purchase]]-Table3[[#This Row],[Sales]]</f>
        <v>0</v>
      </c>
    </row>
    <row r="65" spans="3:6" x14ac:dyDescent="0.3">
      <c r="C65" t="str">
        <f>IFERROR(VLOOKUP(Table3[[#This Row],[Item Code]],Table2[#All],2,0),"")</f>
        <v/>
      </c>
      <c r="D65">
        <f>SUMIF(Table2[Iteam Code],Table3[[#This Row],[Item Code]],Table2[Qty])</f>
        <v>0</v>
      </c>
      <c r="E65">
        <f>SUMIF(Table4[Item code],Table3[[#This Row],[Item Code]],Table4[Qty])</f>
        <v>0</v>
      </c>
      <c r="F65">
        <f>Table3[[#This Row],[Purchase]]-Table3[[#This Row],[Sales]]</f>
        <v>0</v>
      </c>
    </row>
    <row r="66" spans="3:6" x14ac:dyDescent="0.3">
      <c r="C66" t="str">
        <f>IFERROR(VLOOKUP(Table3[[#This Row],[Item Code]],Table2[#All],2,0),"")</f>
        <v/>
      </c>
      <c r="D66">
        <f>SUMIF(Table2[Iteam Code],Table3[[#This Row],[Item Code]],Table2[Qty])</f>
        <v>0</v>
      </c>
      <c r="E66">
        <f>SUMIF(Table4[Item code],Table3[[#This Row],[Item Code]],Table4[Qty])</f>
        <v>0</v>
      </c>
      <c r="F66">
        <f>Table3[[#This Row],[Purchase]]-Table3[[#This Row],[Sales]]</f>
        <v>0</v>
      </c>
    </row>
    <row r="67" spans="3:6" x14ac:dyDescent="0.3">
      <c r="C67" t="str">
        <f>IFERROR(VLOOKUP(Table3[[#This Row],[Item Code]],Table2[#All],2,0),"")</f>
        <v/>
      </c>
      <c r="D67">
        <f>SUMIF(Table2[Iteam Code],Table3[[#This Row],[Item Code]],Table2[Qty])</f>
        <v>0</v>
      </c>
      <c r="E67">
        <f>SUMIF(Table4[Item code],Table3[[#This Row],[Item Code]],Table4[Qty])</f>
        <v>0</v>
      </c>
      <c r="F67">
        <f>Table3[[#This Row],[Purchase]]-Table3[[#This Row],[Sales]]</f>
        <v>0</v>
      </c>
    </row>
    <row r="68" spans="3:6" x14ac:dyDescent="0.3">
      <c r="C68" t="str">
        <f>IFERROR(VLOOKUP(Table3[[#This Row],[Item Code]],Table2[#All],2,0),"")</f>
        <v/>
      </c>
      <c r="D68">
        <f>SUMIF(Table2[Iteam Code],Table3[[#This Row],[Item Code]],Table2[Qty])</f>
        <v>0</v>
      </c>
      <c r="E68">
        <f>SUMIF(Table4[Item code],Table3[[#This Row],[Item Code]],Table4[Qty])</f>
        <v>0</v>
      </c>
      <c r="F68">
        <f>Table3[[#This Row],[Purchase]]-Table3[[#This Row],[Sales]]</f>
        <v>0</v>
      </c>
    </row>
    <row r="69" spans="3:6" x14ac:dyDescent="0.3">
      <c r="C69" t="str">
        <f>IFERROR(VLOOKUP(Table3[[#This Row],[Item Code]],Table2[#All],2,0),"")</f>
        <v/>
      </c>
      <c r="D69">
        <f>SUMIF(Table2[Iteam Code],Table3[[#This Row],[Item Code]],Table2[Qty])</f>
        <v>0</v>
      </c>
      <c r="E69">
        <f>SUMIF(Table4[Item code],Table3[[#This Row],[Item Code]],Table4[Qty])</f>
        <v>0</v>
      </c>
      <c r="F69">
        <f>Table3[[#This Row],[Purchase]]-Table3[[#This Row],[Sales]]</f>
        <v>0</v>
      </c>
    </row>
    <row r="70" spans="3:6" x14ac:dyDescent="0.3">
      <c r="C70" t="str">
        <f>IFERROR(VLOOKUP(Table3[[#This Row],[Item Code]],Table2[#All],2,0),"")</f>
        <v/>
      </c>
      <c r="D70">
        <f>SUMIF(Table2[Iteam Code],Table3[[#This Row],[Item Code]],Table2[Qty])</f>
        <v>0</v>
      </c>
      <c r="E70">
        <f>SUMIF(Table4[Item code],Table3[[#This Row],[Item Code]],Table4[Qty])</f>
        <v>0</v>
      </c>
      <c r="F70">
        <f>Table3[[#This Row],[Purchase]]-Table3[[#This Row],[Sales]]</f>
        <v>0</v>
      </c>
    </row>
    <row r="71" spans="3:6" x14ac:dyDescent="0.3">
      <c r="C71" t="str">
        <f>IFERROR(VLOOKUP(Table3[[#This Row],[Item Code]],Table2[#All],2,0),"")</f>
        <v/>
      </c>
      <c r="D71">
        <f>SUMIF(Table2[Iteam Code],Table3[[#This Row],[Item Code]],Table2[Qty])</f>
        <v>0</v>
      </c>
      <c r="E71">
        <f>SUMIF(Table4[Item code],Table3[[#This Row],[Item Code]],Table4[Qty])</f>
        <v>0</v>
      </c>
      <c r="F71">
        <f>Table3[[#This Row],[Purchase]]-Table3[[#This Row],[Sales]]</f>
        <v>0</v>
      </c>
    </row>
    <row r="72" spans="3:6" x14ac:dyDescent="0.3">
      <c r="C72" t="str">
        <f>IFERROR(VLOOKUP(Table3[[#This Row],[Item Code]],Table2[#All],2,0),"")</f>
        <v/>
      </c>
      <c r="D72">
        <f>SUMIF(Table2[Iteam Code],Table3[[#This Row],[Item Code]],Table2[Qty])</f>
        <v>0</v>
      </c>
      <c r="E72">
        <f>SUMIF(Table4[Item code],Table3[[#This Row],[Item Code]],Table4[Qty])</f>
        <v>0</v>
      </c>
      <c r="F72">
        <f>Table3[[#This Row],[Purchase]]-Table3[[#This Row],[Sales]]</f>
        <v>0</v>
      </c>
    </row>
    <row r="73" spans="3:6" x14ac:dyDescent="0.3">
      <c r="C73" t="str">
        <f>IFERROR(VLOOKUP(Table3[[#This Row],[Item Code]],Table2[#All],2,0),"")</f>
        <v/>
      </c>
      <c r="D73">
        <f>SUMIF(Table2[Iteam Code],Table3[[#This Row],[Item Code]],Table2[Qty])</f>
        <v>0</v>
      </c>
      <c r="E73">
        <f>SUMIF(Table4[Item code],Table3[[#This Row],[Item Code]],Table4[Qty])</f>
        <v>0</v>
      </c>
      <c r="F73">
        <f>Table3[[#This Row],[Purchase]]-Table3[[#This Row],[Sales]]</f>
        <v>0</v>
      </c>
    </row>
    <row r="74" spans="3:6" x14ac:dyDescent="0.3">
      <c r="C74" t="str">
        <f>IFERROR(VLOOKUP(Table3[[#This Row],[Item Code]],Table2[#All],2,0),"")</f>
        <v/>
      </c>
      <c r="D74">
        <f>SUMIF(Table2[Iteam Code],Table3[[#This Row],[Item Code]],Table2[Qty])</f>
        <v>0</v>
      </c>
      <c r="E74">
        <f>SUMIF(Table4[Item code],Table3[[#This Row],[Item Code]],Table4[Qty])</f>
        <v>0</v>
      </c>
      <c r="F74">
        <f>Table3[[#This Row],[Purchase]]-Table3[[#This Row],[Sales]]</f>
        <v>0</v>
      </c>
    </row>
    <row r="75" spans="3:6" x14ac:dyDescent="0.3">
      <c r="C75" t="str">
        <f>IFERROR(VLOOKUP(Table3[[#This Row],[Item Code]],Table2[#All],2,0),"")</f>
        <v/>
      </c>
      <c r="D75">
        <f>SUMIF(Table2[Iteam Code],Table3[[#This Row],[Item Code]],Table2[Qty])</f>
        <v>0</v>
      </c>
      <c r="E75">
        <f>SUMIF(Table4[Item code],Table3[[#This Row],[Item Code]],Table4[Qty])</f>
        <v>0</v>
      </c>
      <c r="F75">
        <f>Table3[[#This Row],[Purchase]]-Table3[[#This Row],[Sales]]</f>
        <v>0</v>
      </c>
    </row>
    <row r="76" spans="3:6" x14ac:dyDescent="0.3">
      <c r="C76" t="str">
        <f>IFERROR(VLOOKUP(Table3[[#This Row],[Item Code]],Table2[#All],2,0),"")</f>
        <v/>
      </c>
      <c r="D76">
        <f>SUMIF(Table2[Iteam Code],Table3[[#This Row],[Item Code]],Table2[Qty])</f>
        <v>0</v>
      </c>
      <c r="E76">
        <f>SUMIF(Table4[Item code],Table3[[#This Row],[Item Code]],Table4[Qty])</f>
        <v>0</v>
      </c>
      <c r="F76">
        <f>Table3[[#This Row],[Purchase]]-Table3[[#This Row],[Sales]]</f>
        <v>0</v>
      </c>
    </row>
    <row r="77" spans="3:6" x14ac:dyDescent="0.3">
      <c r="C77" t="str">
        <f>IFERROR(VLOOKUP(Table3[[#This Row],[Item Code]],Table2[#All],2,0),"")</f>
        <v/>
      </c>
      <c r="D77">
        <f>SUMIF(Table2[Iteam Code],Table3[[#This Row],[Item Code]],Table2[Qty])</f>
        <v>0</v>
      </c>
      <c r="E77">
        <f>SUMIF(Table4[Item code],Table3[[#This Row],[Item Code]],Table4[Qty])</f>
        <v>0</v>
      </c>
      <c r="F77">
        <f>Table3[[#This Row],[Purchase]]-Table3[[#This Row],[Sales]]</f>
        <v>0</v>
      </c>
    </row>
    <row r="78" spans="3:6" x14ac:dyDescent="0.3">
      <c r="C78" t="str">
        <f>IFERROR(VLOOKUP(Table3[[#This Row],[Item Code]],Table2[#All],2,0),"")</f>
        <v/>
      </c>
      <c r="D78">
        <f>SUMIF(Table2[Iteam Code],Table3[[#This Row],[Item Code]],Table2[Qty])</f>
        <v>0</v>
      </c>
      <c r="E78">
        <f>SUMIF(Table4[Item code],Table3[[#This Row],[Item Code]],Table4[Qty])</f>
        <v>0</v>
      </c>
      <c r="F78">
        <f>Table3[[#This Row],[Purchase]]-Table3[[#This Row],[Sales]]</f>
        <v>0</v>
      </c>
    </row>
    <row r="79" spans="3:6" x14ac:dyDescent="0.3">
      <c r="C79" t="str">
        <f>IFERROR(VLOOKUP(Table3[[#This Row],[Item Code]],Table2[#All],2,0),"")</f>
        <v/>
      </c>
      <c r="D79">
        <f>SUMIF(Table2[Iteam Code],Table3[[#This Row],[Item Code]],Table2[Qty])</f>
        <v>0</v>
      </c>
      <c r="E79">
        <f>SUMIF(Table4[Item code],Table3[[#This Row],[Item Code]],Table4[Qty])</f>
        <v>0</v>
      </c>
      <c r="F79">
        <f>Table3[[#This Row],[Purchase]]-Table3[[#This Row],[Sales]]</f>
        <v>0</v>
      </c>
    </row>
    <row r="80" spans="3:6" x14ac:dyDescent="0.3">
      <c r="C80" t="str">
        <f>IFERROR(VLOOKUP(Table3[[#This Row],[Item Code]],Table2[#All],2,0),"")</f>
        <v/>
      </c>
      <c r="D80">
        <f>SUMIF(Table2[Iteam Code],Table3[[#This Row],[Item Code]],Table2[Qty])</f>
        <v>0</v>
      </c>
      <c r="E80">
        <f>SUMIF(Table4[Item code],Table3[[#This Row],[Item Code]],Table4[Qty])</f>
        <v>0</v>
      </c>
      <c r="F80">
        <f>Table3[[#This Row],[Purchase]]-Table3[[#This Row],[Sales]]</f>
        <v>0</v>
      </c>
    </row>
    <row r="81" spans="3:6" x14ac:dyDescent="0.3">
      <c r="C81" t="str">
        <f>IFERROR(VLOOKUP(Table3[[#This Row],[Item Code]],Table2[#All],2,0),"")</f>
        <v/>
      </c>
      <c r="D81">
        <f>SUMIF(Table2[Iteam Code],Table3[[#This Row],[Item Code]],Table2[Qty])</f>
        <v>0</v>
      </c>
      <c r="E81">
        <f>SUMIF(Table4[Item code],Table3[[#This Row],[Item Code]],Table4[Qty])</f>
        <v>0</v>
      </c>
      <c r="F81">
        <f>Table3[[#This Row],[Purchase]]-Table3[[#This Row],[Sales]]</f>
        <v>0</v>
      </c>
    </row>
    <row r="82" spans="3:6" x14ac:dyDescent="0.3">
      <c r="C82" t="str">
        <f>IFERROR(VLOOKUP(Table3[[#This Row],[Item Code]],Table2[#All],2,0),"")</f>
        <v/>
      </c>
      <c r="D82">
        <f>SUMIF(Table2[Iteam Code],Table3[[#This Row],[Item Code]],Table2[Qty])</f>
        <v>0</v>
      </c>
      <c r="E82">
        <f>SUMIF(Table4[Item code],Table3[[#This Row],[Item Code]],Table4[Qty])</f>
        <v>0</v>
      </c>
      <c r="F82">
        <f>Table3[[#This Row],[Purchase]]-Table3[[#This Row],[Sales]]</f>
        <v>0</v>
      </c>
    </row>
    <row r="83" spans="3:6" x14ac:dyDescent="0.3">
      <c r="C83" t="str">
        <f>IFERROR(VLOOKUP(Table3[[#This Row],[Item Code]],Table2[#All],2,0),"")</f>
        <v/>
      </c>
      <c r="D83">
        <f>SUMIF(Table2[Iteam Code],Table3[[#This Row],[Item Code]],Table2[Qty])</f>
        <v>0</v>
      </c>
      <c r="E83">
        <f>SUMIF(Table4[Item code],Table3[[#This Row],[Item Code]],Table4[Qty])</f>
        <v>0</v>
      </c>
      <c r="F83">
        <f>Table3[[#This Row],[Purchase]]-Table3[[#This Row],[Sales]]</f>
        <v>0</v>
      </c>
    </row>
    <row r="84" spans="3:6" x14ac:dyDescent="0.3">
      <c r="C84" t="str">
        <f>IFERROR(VLOOKUP(Table3[[#This Row],[Item Code]],Table2[#All],2,0),"")</f>
        <v/>
      </c>
      <c r="D84">
        <f>SUMIF(Table2[Iteam Code],Table3[[#This Row],[Item Code]],Table2[Qty])</f>
        <v>0</v>
      </c>
      <c r="E84">
        <f>SUMIF(Table4[Item code],Table3[[#This Row],[Item Code]],Table4[Qty])</f>
        <v>0</v>
      </c>
      <c r="F84">
        <f>Table3[[#This Row],[Purchase]]-Table3[[#This Row],[Sales]]</f>
        <v>0</v>
      </c>
    </row>
  </sheetData>
  <mergeCells count="1">
    <mergeCell ref="B2:F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6905D-22F2-4233-A3CF-8853A17CA018}">
  <sheetPr codeName="Sheet7"/>
  <dimension ref="A1"/>
  <sheetViews>
    <sheetView topLeftCell="B1" zoomScale="60" zoomScaleNormal="60" workbookViewId="0">
      <selection activeCell="J16" sqref="J16"/>
    </sheetView>
  </sheetViews>
  <sheetFormatPr defaultRowHeight="14.4" x14ac:dyDescent="0.3"/>
  <cols>
    <col min="1" max="1" width="16.88671875" bestFit="1" customWidth="1"/>
    <col min="2" max="2" width="15.21875" bestFit="1" customWidth="1"/>
    <col min="3" max="3" width="11.6640625" bestFit="1" customWidth="1"/>
    <col min="4" max="4" width="12.109375" bestFit="1" customWidth="1"/>
    <col min="5" max="5" width="16.21875" bestFit="1" customWidth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89C28-7D75-480D-AB24-A1967B7E9924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D54DE-9E70-4CCC-A579-BE59516DF9AC}">
  <sheetPr codeName="Sheet2"/>
  <dimension ref="A1:H51"/>
  <sheetViews>
    <sheetView topLeftCell="A14" workbookViewId="0">
      <selection activeCell="A30" sqref="A30:H51"/>
    </sheetView>
  </sheetViews>
  <sheetFormatPr defaultRowHeight="14.4" x14ac:dyDescent="0.3"/>
  <sheetData>
    <row r="1" spans="2:8" x14ac:dyDescent="0.3">
      <c r="B1">
        <v>2</v>
      </c>
      <c r="C1">
        <v>1002</v>
      </c>
      <c r="D1" t="s">
        <v>24</v>
      </c>
      <c r="E1">
        <v>500</v>
      </c>
      <c r="F1">
        <v>30</v>
      </c>
      <c r="G1">
        <v>2250</v>
      </c>
      <c r="H1">
        <v>17250</v>
      </c>
    </row>
    <row r="2" spans="2:8" x14ac:dyDescent="0.3">
      <c r="B2" t="s">
        <v>29</v>
      </c>
      <c r="D2" t="s">
        <v>29</v>
      </c>
      <c r="E2" t="s">
        <v>29</v>
      </c>
      <c r="G2" t="s">
        <v>29</v>
      </c>
      <c r="H2" t="s">
        <v>29</v>
      </c>
    </row>
    <row r="3" spans="2:8" x14ac:dyDescent="0.3">
      <c r="B3" t="s">
        <v>29</v>
      </c>
      <c r="D3" t="s">
        <v>29</v>
      </c>
      <c r="E3" t="s">
        <v>29</v>
      </c>
      <c r="G3" t="s">
        <v>29</v>
      </c>
      <c r="H3" t="s">
        <v>29</v>
      </c>
    </row>
    <row r="4" spans="2:8" x14ac:dyDescent="0.3">
      <c r="B4" t="s">
        <v>29</v>
      </c>
      <c r="D4" t="s">
        <v>29</v>
      </c>
      <c r="E4" t="s">
        <v>29</v>
      </c>
      <c r="G4" t="s">
        <v>29</v>
      </c>
      <c r="H4" t="s">
        <v>29</v>
      </c>
    </row>
    <row r="5" spans="2:8" x14ac:dyDescent="0.3">
      <c r="B5" t="s">
        <v>29</v>
      </c>
      <c r="D5" t="s">
        <v>29</v>
      </c>
      <c r="E5" t="s">
        <v>29</v>
      </c>
      <c r="G5" t="s">
        <v>29</v>
      </c>
      <c r="H5" t="s">
        <v>29</v>
      </c>
    </row>
    <row r="6" spans="2:8" x14ac:dyDescent="0.3">
      <c r="B6" t="s">
        <v>29</v>
      </c>
      <c r="D6" t="s">
        <v>29</v>
      </c>
      <c r="E6" t="s">
        <v>29</v>
      </c>
      <c r="G6" t="s">
        <v>29</v>
      </c>
      <c r="H6" t="s">
        <v>29</v>
      </c>
    </row>
    <row r="7" spans="2:8" x14ac:dyDescent="0.3">
      <c r="B7" t="s">
        <v>29</v>
      </c>
      <c r="D7" t="s">
        <v>29</v>
      </c>
      <c r="E7" t="s">
        <v>29</v>
      </c>
      <c r="G7" t="s">
        <v>29</v>
      </c>
      <c r="H7" t="s">
        <v>29</v>
      </c>
    </row>
    <row r="8" spans="2:8" x14ac:dyDescent="0.3">
      <c r="B8" t="s">
        <v>29</v>
      </c>
      <c r="D8" t="s">
        <v>29</v>
      </c>
      <c r="E8" t="s">
        <v>29</v>
      </c>
      <c r="G8" t="s">
        <v>29</v>
      </c>
      <c r="H8" t="s">
        <v>29</v>
      </c>
    </row>
    <row r="9" spans="2:8" x14ac:dyDescent="0.3">
      <c r="B9" t="s">
        <v>29</v>
      </c>
      <c r="D9" t="s">
        <v>29</v>
      </c>
      <c r="E9" t="s">
        <v>29</v>
      </c>
      <c r="G9" t="s">
        <v>29</v>
      </c>
      <c r="H9" t="s">
        <v>29</v>
      </c>
    </row>
    <row r="10" spans="2:8" x14ac:dyDescent="0.3">
      <c r="B10" t="s">
        <v>29</v>
      </c>
      <c r="D10" t="s">
        <v>29</v>
      </c>
      <c r="E10" t="s">
        <v>29</v>
      </c>
      <c r="G10" t="s">
        <v>29</v>
      </c>
      <c r="H10" t="s">
        <v>29</v>
      </c>
    </row>
    <row r="11" spans="2:8" x14ac:dyDescent="0.3">
      <c r="B11" t="s">
        <v>29</v>
      </c>
      <c r="D11" t="s">
        <v>29</v>
      </c>
      <c r="E11" t="s">
        <v>29</v>
      </c>
      <c r="G11" t="s">
        <v>29</v>
      </c>
      <c r="H11" t="s">
        <v>29</v>
      </c>
    </row>
    <row r="12" spans="2:8" x14ac:dyDescent="0.3">
      <c r="B12" t="s">
        <v>29</v>
      </c>
      <c r="D12" t="s">
        <v>29</v>
      </c>
      <c r="E12" t="s">
        <v>29</v>
      </c>
      <c r="G12" t="s">
        <v>29</v>
      </c>
      <c r="H12" t="s">
        <v>29</v>
      </c>
    </row>
    <row r="13" spans="2:8" x14ac:dyDescent="0.3">
      <c r="B13" t="s">
        <v>29</v>
      </c>
      <c r="D13" t="s">
        <v>29</v>
      </c>
      <c r="E13" t="s">
        <v>29</v>
      </c>
      <c r="G13" t="s">
        <v>29</v>
      </c>
      <c r="H13" t="s">
        <v>29</v>
      </c>
    </row>
    <row r="14" spans="2:8" x14ac:dyDescent="0.3">
      <c r="B14" t="s">
        <v>29</v>
      </c>
      <c r="D14" t="s">
        <v>29</v>
      </c>
      <c r="E14" t="s">
        <v>29</v>
      </c>
      <c r="G14" t="s">
        <v>29</v>
      </c>
      <c r="H14" t="s">
        <v>29</v>
      </c>
    </row>
    <row r="15" spans="2:8" x14ac:dyDescent="0.3">
      <c r="B15" t="s">
        <v>29</v>
      </c>
      <c r="D15" t="s">
        <v>29</v>
      </c>
      <c r="E15" t="s">
        <v>29</v>
      </c>
      <c r="G15" t="s">
        <v>29</v>
      </c>
      <c r="H15" t="s">
        <v>29</v>
      </c>
    </row>
    <row r="16" spans="2:8" x14ac:dyDescent="0.3">
      <c r="B16" t="s">
        <v>29</v>
      </c>
      <c r="D16" t="s">
        <v>29</v>
      </c>
      <c r="E16" t="s">
        <v>29</v>
      </c>
      <c r="G16" t="s">
        <v>29</v>
      </c>
      <c r="H16" t="s">
        <v>29</v>
      </c>
    </row>
    <row r="18" spans="1:8" x14ac:dyDescent="0.3">
      <c r="F18" t="s">
        <v>14</v>
      </c>
      <c r="H18">
        <v>17250</v>
      </c>
    </row>
    <row r="22" spans="1:8" x14ac:dyDescent="0.3">
      <c r="A22" t="s">
        <v>15</v>
      </c>
      <c r="F22" t="s">
        <v>16</v>
      </c>
    </row>
    <row r="26" spans="1:8" x14ac:dyDescent="0.3">
      <c r="A26" s="11"/>
      <c r="B26" s="11"/>
      <c r="C26" s="11">
        <v>1001</v>
      </c>
      <c r="D26" s="11" t="str">
        <f>IFERROR(VLOOKUP(C26,Table2[#All],2,0),"")</f>
        <v>Processor</v>
      </c>
      <c r="E26" s="11">
        <f>IFERROR(VLOOKUP(C26,Table2[#All],5,0),"")</f>
        <v>6000</v>
      </c>
      <c r="F26" s="11">
        <v>4</v>
      </c>
      <c r="G26" s="11">
        <f>IFERROR(((E26*F26)*15%),"")</f>
        <v>3600</v>
      </c>
      <c r="H26" s="11">
        <f>IFERROR((E26*F26)+G26,"")</f>
        <v>27600</v>
      </c>
    </row>
    <row r="27" spans="1:8" x14ac:dyDescent="0.3">
      <c r="A27" s="11">
        <v>2</v>
      </c>
      <c r="B27" s="11">
        <f t="shared" ref="B27" si="0">IF(C27="","",$I$9)</f>
        <v>0</v>
      </c>
      <c r="C27" s="11">
        <v>1002</v>
      </c>
      <c r="D27" s="11" t="str">
        <f>IFERROR(VLOOKUP(C27,Table2[#All],2,0),"")</f>
        <v>Motherboard</v>
      </c>
      <c r="E27" s="11">
        <f>IFERROR(VLOOKUP(C27,Table2[#All],5,0),"")</f>
        <v>6500</v>
      </c>
      <c r="F27" s="11">
        <v>2</v>
      </c>
      <c r="G27" s="11">
        <f t="shared" ref="G27" si="1">IFERROR(((E27*F27)*15%),"")</f>
        <v>1950</v>
      </c>
      <c r="H27" s="11">
        <f t="shared" ref="H27" si="2">IFERROR((E27*F27)+G27,"")</f>
        <v>14950</v>
      </c>
    </row>
    <row r="30" spans="1:8" x14ac:dyDescent="0.3">
      <c r="B30">
        <v>13</v>
      </c>
      <c r="D30" t="s">
        <v>29</v>
      </c>
      <c r="E30" t="s">
        <v>29</v>
      </c>
      <c r="G30" t="s">
        <v>29</v>
      </c>
      <c r="H30" t="s">
        <v>29</v>
      </c>
    </row>
    <row r="31" spans="1:8" x14ac:dyDescent="0.3">
      <c r="B31">
        <v>13</v>
      </c>
      <c r="D31" t="s">
        <v>29</v>
      </c>
      <c r="E31" t="s">
        <v>29</v>
      </c>
      <c r="G31" t="s">
        <v>29</v>
      </c>
      <c r="H31" t="s">
        <v>29</v>
      </c>
    </row>
    <row r="32" spans="1:8" x14ac:dyDescent="0.3">
      <c r="B32">
        <v>13</v>
      </c>
      <c r="D32" t="s">
        <v>29</v>
      </c>
      <c r="E32" t="s">
        <v>29</v>
      </c>
      <c r="G32" t="s">
        <v>29</v>
      </c>
      <c r="H32" t="s">
        <v>29</v>
      </c>
    </row>
    <row r="33" spans="4:8" x14ac:dyDescent="0.3">
      <c r="D33" t="s">
        <v>29</v>
      </c>
      <c r="E33" t="s">
        <v>29</v>
      </c>
      <c r="G33" t="s">
        <v>29</v>
      </c>
      <c r="H33" t="s">
        <v>29</v>
      </c>
    </row>
    <row r="34" spans="4:8" x14ac:dyDescent="0.3">
      <c r="D34" t="s">
        <v>29</v>
      </c>
      <c r="E34" t="s">
        <v>29</v>
      </c>
      <c r="G34" t="s">
        <v>29</v>
      </c>
      <c r="H34" t="s">
        <v>29</v>
      </c>
    </row>
    <row r="35" spans="4:8" x14ac:dyDescent="0.3">
      <c r="D35" t="s">
        <v>29</v>
      </c>
      <c r="E35" t="s">
        <v>29</v>
      </c>
      <c r="G35" t="s">
        <v>29</v>
      </c>
      <c r="H35" t="s">
        <v>29</v>
      </c>
    </row>
    <row r="36" spans="4:8" x14ac:dyDescent="0.3">
      <c r="D36" t="s">
        <v>29</v>
      </c>
      <c r="E36" t="s">
        <v>29</v>
      </c>
      <c r="G36" t="s">
        <v>29</v>
      </c>
      <c r="H36" t="s">
        <v>29</v>
      </c>
    </row>
    <row r="37" spans="4:8" x14ac:dyDescent="0.3">
      <c r="D37" t="s">
        <v>29</v>
      </c>
      <c r="E37" t="s">
        <v>29</v>
      </c>
      <c r="G37" t="s">
        <v>29</v>
      </c>
      <c r="H37" t="s">
        <v>29</v>
      </c>
    </row>
    <row r="38" spans="4:8" x14ac:dyDescent="0.3">
      <c r="D38" t="s">
        <v>29</v>
      </c>
      <c r="E38" t="s">
        <v>29</v>
      </c>
      <c r="G38" t="s">
        <v>29</v>
      </c>
      <c r="H38" t="s">
        <v>29</v>
      </c>
    </row>
    <row r="39" spans="4:8" x14ac:dyDescent="0.3">
      <c r="D39" t="s">
        <v>29</v>
      </c>
      <c r="E39" t="s">
        <v>29</v>
      </c>
      <c r="G39" t="s">
        <v>29</v>
      </c>
      <c r="H39" t="s">
        <v>29</v>
      </c>
    </row>
    <row r="40" spans="4:8" x14ac:dyDescent="0.3">
      <c r="D40" t="s">
        <v>29</v>
      </c>
      <c r="E40" t="s">
        <v>29</v>
      </c>
      <c r="G40" t="s">
        <v>29</v>
      </c>
      <c r="H40" t="s">
        <v>29</v>
      </c>
    </row>
    <row r="41" spans="4:8" x14ac:dyDescent="0.3">
      <c r="D41" t="s">
        <v>29</v>
      </c>
      <c r="E41" t="s">
        <v>29</v>
      </c>
      <c r="G41" t="s">
        <v>29</v>
      </c>
      <c r="H41" t="s">
        <v>29</v>
      </c>
    </row>
    <row r="42" spans="4:8" x14ac:dyDescent="0.3">
      <c r="D42" t="s">
        <v>29</v>
      </c>
      <c r="E42" t="s">
        <v>29</v>
      </c>
      <c r="G42" t="s">
        <v>29</v>
      </c>
      <c r="H42" t="s">
        <v>29</v>
      </c>
    </row>
    <row r="43" spans="4:8" x14ac:dyDescent="0.3">
      <c r="D43" t="s">
        <v>29</v>
      </c>
      <c r="E43" t="s">
        <v>29</v>
      </c>
      <c r="G43" t="s">
        <v>29</v>
      </c>
      <c r="H43" t="s">
        <v>29</v>
      </c>
    </row>
    <row r="44" spans="4:8" x14ac:dyDescent="0.3">
      <c r="D44" t="s">
        <v>29</v>
      </c>
      <c r="E44" t="s">
        <v>29</v>
      </c>
      <c r="G44" t="s">
        <v>29</v>
      </c>
      <c r="H44" t="s">
        <v>29</v>
      </c>
    </row>
    <row r="45" spans="4:8" x14ac:dyDescent="0.3">
      <c r="D45" t="s">
        <v>29</v>
      </c>
      <c r="E45" t="s">
        <v>29</v>
      </c>
      <c r="G45" t="s">
        <v>29</v>
      </c>
      <c r="H45" t="s">
        <v>29</v>
      </c>
    </row>
    <row r="47" spans="4:8" x14ac:dyDescent="0.3">
      <c r="F47" t="s">
        <v>14</v>
      </c>
      <c r="H47">
        <v>0</v>
      </c>
    </row>
    <row r="51" spans="1:6" x14ac:dyDescent="0.3">
      <c r="A51" t="s">
        <v>15</v>
      </c>
      <c r="F5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invoice</vt:lpstr>
      <vt:lpstr>purchase</vt:lpstr>
      <vt:lpstr>sales</vt:lpstr>
      <vt:lpstr>stock</vt:lpstr>
      <vt:lpstr>chart</vt:lpstr>
      <vt:lpstr>Sheet1</vt:lpstr>
      <vt:lpstr>help sheet</vt:lpstr>
      <vt:lpstr>stock!Criteria</vt:lpstr>
      <vt:lpstr>stock!Extract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shaikat mondal</dc:creator>
  <cp:lastModifiedBy>shaikat mondal</cp:lastModifiedBy>
  <cp:lastPrinted>2024-10-04T20:03:27Z</cp:lastPrinted>
  <dcterms:created xsi:type="dcterms:W3CDTF">2024-09-29T03:22:27Z</dcterms:created>
  <dcterms:modified xsi:type="dcterms:W3CDTF">2024-10-07T08:37:58Z</dcterms:modified>
</cp:coreProperties>
</file>